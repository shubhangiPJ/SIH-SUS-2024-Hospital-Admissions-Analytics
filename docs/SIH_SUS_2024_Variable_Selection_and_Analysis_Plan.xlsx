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actice_projects\01_sis-suh\github\docs\"/>
    </mc:Choice>
  </mc:AlternateContent>
  <bookViews>
    <workbookView xWindow="0" yWindow="0" windowWidth="23040" windowHeight="9072" activeTab="5"/>
  </bookViews>
  <sheets>
    <sheet name="final_list" sheetId="7" r:id="rId1"/>
    <sheet name="Q1" sheetId="1" r:id="rId2"/>
    <sheet name="Q2" sheetId="2" r:id="rId3"/>
    <sheet name="Q3" sheetId="3" r:id="rId4"/>
    <sheet name="Q4" sheetId="4" r:id="rId5"/>
    <sheet name="records_count_validation" sheetId="8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8" l="1"/>
</calcChain>
</file>

<file path=xl/comments1.xml><?xml version="1.0" encoding="utf-8"?>
<comments xmlns="http://schemas.openxmlformats.org/spreadsheetml/2006/main">
  <authors>
    <author>Shubhangi Jadhav</author>
  </authors>
  <commentList>
    <comment ref="A49" authorId="0" shapeId="0">
      <text>
        <r>
          <rPr>
            <b/>
            <sz val="9"/>
            <color indexed="81"/>
            <rFont val="Tahoma"/>
            <family val="2"/>
          </rPr>
          <t>Shubhangi Jadhav:</t>
        </r>
        <r>
          <rPr>
            <sz val="9"/>
            <color indexed="81"/>
            <rFont val="Tahoma"/>
            <family val="2"/>
          </rPr>
          <t xml:space="preserve">
Core, but with an analytical caution
CNES is useful for facility-level variation, but there may be many facilities. Therefore, we probably won't simply put every CNES code into a dashboard.
Later, we may use it for:facility-level distributions;concentration analysis;identifying high-volume facilities;comparing facility characteristics.</t>
        </r>
      </text>
    </comment>
  </commentList>
</comments>
</file>

<file path=xl/comments2.xml><?xml version="1.0" encoding="utf-8"?>
<comments xmlns="http://schemas.openxmlformats.org/spreadsheetml/2006/main">
  <authors>
    <author>Shubhangi Jadhav</author>
  </authors>
  <commentList>
    <comment ref="A17" authorId="0" shapeId="0">
      <text>
        <r>
          <rPr>
            <b/>
            <sz val="9"/>
            <color indexed="81"/>
            <rFont val="Tahoma"/>
            <family val="2"/>
          </rPr>
          <t>Shubhangi Jadhav:</t>
        </r>
        <r>
          <rPr>
            <sz val="9"/>
            <color indexed="81"/>
            <rFont val="Tahoma"/>
            <family val="2"/>
          </rPr>
          <t xml:space="preserve">
Supporting — enables temporal analysis and validation/derivation of hospitalization duration.
Given our validation findings around DIAS_PERM, we should be careful later about whether we use:
reported DIAS_PERM,
a date-derived LOS,
or both for different purposes.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Shubhangi Jadhav:</t>
        </r>
        <r>
          <rPr>
            <sz val="9"/>
            <color indexed="81"/>
            <rFont val="Tahoma"/>
            <family val="2"/>
          </rPr>
          <t xml:space="preserve">
Core, but with an analytical caution
CNES is useful for facility-level variation, but there may be many facilities. Therefore, we probably won't simply put every CNES code into a dashboard.
Later, we may use it for:facility-level distributions;concentration analysis;identifying high-volume facilities;comparing facility characteristics.</t>
        </r>
      </text>
    </comment>
  </commentList>
</comments>
</file>

<file path=xl/sharedStrings.xml><?xml version="1.0" encoding="utf-8"?>
<sst xmlns="http://schemas.openxmlformats.org/spreadsheetml/2006/main" count="918" uniqueCount="453">
  <si>
    <t>Question 1: Who is using inpatient hospital services?</t>
  </si>
  <si>
    <t>Variable</t>
  </si>
  <si>
    <t>Domain</t>
  </si>
  <si>
    <t>Decision</t>
  </si>
  <si>
    <t xml:space="preserve"> age </t>
  </si>
  <si>
    <t xml:space="preserve"> age measuring unit </t>
  </si>
  <si>
    <t xml:space="preserve"> recorded sex </t>
  </si>
  <si>
    <t xml:space="preserve"> Patient race/color </t>
  </si>
  <si>
    <t xml:space="preserve"> Patient’s municipality of residence </t>
  </si>
  <si>
    <t xml:space="preserve"> Managing municipality </t>
  </si>
  <si>
    <t xml:space="preserve"> Municipality of establishment </t>
  </si>
  <si>
    <t xml:space="preserve"> nationality code </t>
  </si>
  <si>
    <t xml:space="preserve"> Indicator whether the AIH patient is the same name as the patient from another AIH </t>
  </si>
  <si>
    <t xml:space="preserve"> Patient's ethnicity, if race and color is indigenous </t>
  </si>
  <si>
    <t>Translation</t>
  </si>
  <si>
    <t>Patient</t>
  </si>
  <si>
    <t>Geography</t>
  </si>
  <si>
    <t xml:space="preserve"> IDADE</t>
  </si>
  <si>
    <t xml:space="preserve">COD_IDADE </t>
  </si>
  <si>
    <t>SEXO</t>
  </si>
  <si>
    <t xml:space="preserve"> RACA_COR </t>
  </si>
  <si>
    <t xml:space="preserve"> MUNIC_RES</t>
  </si>
  <si>
    <t xml:space="preserve"> UF_ZI</t>
  </si>
  <si>
    <t xml:space="preserve"> MUNIC_MOV</t>
  </si>
  <si>
    <t xml:space="preserve"> NACIONAL </t>
  </si>
  <si>
    <t xml:space="preserve"> ETNIA</t>
  </si>
  <si>
    <t>INSTRU</t>
  </si>
  <si>
    <t xml:space="preserve"> Patient education level </t>
  </si>
  <si>
    <r>
      <t xml:space="preserve"> Patient's occupation, according to the Brazilian Classification of Occupations -</t>
    </r>
    <r>
      <rPr>
        <b/>
        <sz val="11"/>
        <color theme="1"/>
        <rFont val="Calibri"/>
        <family val="2"/>
        <scheme val="minor"/>
      </rPr>
      <t>CBO</t>
    </r>
  </si>
  <si>
    <t>CBOR</t>
  </si>
  <si>
    <t>Required for demographic composition</t>
  </si>
  <si>
    <t>Core</t>
  </si>
  <si>
    <t>core</t>
  </si>
  <si>
    <t xml:space="preserve">Comment </t>
  </si>
  <si>
    <r>
      <t xml:space="preserve">Needed to correctly interpret </t>
    </r>
    <r>
      <rPr>
        <sz val="10"/>
        <color theme="1"/>
        <rFont val="Arial Unicode MS"/>
      </rPr>
      <t>IDADE</t>
    </r>
  </si>
  <si>
    <t>Useful for patient-origin geography</t>
  </si>
  <si>
    <t>Supporting</t>
  </si>
  <si>
    <t>Conditional</t>
  </si>
  <si>
    <t>Exploratory</t>
  </si>
  <si>
    <t>Exclude</t>
  </si>
  <si>
    <t>Fine, depending on whether it adds meaningful variation</t>
  </si>
  <si>
    <t>Only relevant for Indigenous patients; should explicitly note sparse/conditional applicability</t>
  </si>
  <si>
    <t>We established from documentation that this is procedure-specific, so don't treat it as a general demographic attribute</t>
  </si>
  <si>
    <t>Potentially interesting, but occupation may have substantial missingness/limited analytical value</t>
  </si>
  <si>
    <t>Question 2: What clinical conditions account for hospital utilization?</t>
  </si>
  <si>
    <t xml:space="preserve"> Procedure requested </t>
  </si>
  <si>
    <t xml:space="preserve"> Procedure performed </t>
  </si>
  <si>
    <t xml:space="preserve"> Indicates death </t>
  </si>
  <si>
    <t xml:space="preserve"> Hospital infection status?? </t>
  </si>
  <si>
    <t xml:space="preserve"> CID causes </t>
  </si>
  <si>
    <t xml:space="preserve"> CID of death </t>
  </si>
  <si>
    <t xml:space="preserve"> Main diagnosis code (CID10) </t>
  </si>
  <si>
    <t xml:space="preserve"> Secondary diagnosis code  (ICD10) </t>
  </si>
  <si>
    <t>Procedures</t>
  </si>
  <si>
    <t>Admission/Discharge</t>
  </si>
  <si>
    <t>Clinical</t>
  </si>
  <si>
    <t>Diagnosis</t>
  </si>
  <si>
    <t xml:space="preserve"> DIAG_PRINC</t>
  </si>
  <si>
    <t xml:space="preserve"> DIAG_SECUN</t>
  </si>
  <si>
    <t>PROC_SOLIC</t>
  </si>
  <si>
    <t>  PROC_REA</t>
  </si>
  <si>
    <t>MORTE</t>
  </si>
  <si>
    <t xml:space="preserve">INFEHOSP </t>
  </si>
  <si>
    <t xml:space="preserve"> CID_ASSO </t>
  </si>
  <si>
    <t xml:space="preserve">CID_MORTE </t>
  </si>
  <si>
    <t xml:space="preserve">Secondary diagnosis </t>
  </si>
  <si>
    <t xml:space="preserve">Secondary diagnosis type </t>
  </si>
  <si>
    <t>Question 3: How does resource utilization vary?</t>
  </si>
  <si>
    <t xml:space="preserve">UF_ZI Managing municipality </t>
  </si>
  <si>
    <t>IDADE</t>
  </si>
  <si>
    <t xml:space="preserve">RACA_COR </t>
  </si>
  <si>
    <t>MUNIC_RES</t>
  </si>
  <si>
    <t xml:space="preserve"> Patient’s municipality of residence  </t>
  </si>
  <si>
    <t xml:space="preserve">NACIONAL </t>
  </si>
  <si>
    <t xml:space="preserve">HOMONIMO </t>
  </si>
  <si>
    <t>ETNIA</t>
  </si>
  <si>
    <t>DIAG_PRINC</t>
  </si>
  <si>
    <t>DIAG_SECUN</t>
  </si>
  <si>
    <t>DIAS_PERM</t>
  </si>
  <si>
    <t>DT_INTER</t>
  </si>
  <si>
    <t xml:space="preserve"> Date of admission </t>
  </si>
  <si>
    <t>DT_SAIDA</t>
  </si>
  <si>
    <t xml:space="preserve"> Departure date </t>
  </si>
  <si>
    <t>MARCA_UTI</t>
  </si>
  <si>
    <t xml:space="preserve"> Indicates the type of ICU used by the patient </t>
  </si>
  <si>
    <t>MARCA_UCI</t>
  </si>
  <si>
    <t xml:space="preserve"> Type of ICU used by the patient </t>
  </si>
  <si>
    <t>QT_DIARIAS</t>
  </si>
  <si>
    <t xml:space="preserve"> Number of daily rates </t>
  </si>
  <si>
    <t>CNES</t>
  </si>
  <si>
    <t xml:space="preserve"> Hospital CNES code </t>
  </si>
  <si>
    <t>ESPEC</t>
  </si>
  <si>
    <t xml:space="preserve"> Bed specialty </t>
  </si>
  <si>
    <t>NATUREZA</t>
  </si>
  <si>
    <t xml:space="preserve"> Legal nature of the hospital </t>
  </si>
  <si>
    <t>NAT_JUR</t>
  </si>
  <si>
    <t>GESTAO</t>
  </si>
  <si>
    <t xml:space="preserve"> Indicates the type of hospital management </t>
  </si>
  <si>
    <t xml:space="preserve">Patient </t>
  </si>
  <si>
    <t xml:space="preserve">Geography </t>
  </si>
  <si>
    <t xml:space="preserve">Time </t>
  </si>
  <si>
    <t xml:space="preserve">Resource Utilization </t>
  </si>
  <si>
    <t>Resource Utilization ?</t>
  </si>
  <si>
    <t xml:space="preserve">Hospital/Facility </t>
  </si>
  <si>
    <t xml:space="preserve"> Secondary diagnosis code -ICD10  </t>
  </si>
  <si>
    <t xml:space="preserve"> Main diagnosis code -CID10  </t>
  </si>
  <si>
    <t xml:space="preserve">Admission/Discharge </t>
  </si>
  <si>
    <t>MOSTLY 0</t>
  </si>
  <si>
    <t xml:space="preserve"> Legal nature of the establishment, according to the National Classification Commission -CONCLA  </t>
  </si>
  <si>
    <t>Hospital/Facility</t>
  </si>
  <si>
    <t>Essential. This should form the primary diagnosis/case-mix grouping.</t>
  </si>
  <si>
    <r>
      <t xml:space="preserve">Keep, but first determine its exact role relative to </t>
    </r>
    <r>
      <rPr>
        <sz val="10"/>
        <color theme="1"/>
        <rFont val="Arial Unicode MS"/>
      </rPr>
      <t>DIAGSEC1–9</t>
    </r>
    <r>
      <rPr>
        <sz val="11"/>
        <color theme="1"/>
        <rFont val="Calibri"/>
        <family val="2"/>
        <scheme val="minor"/>
      </rPr>
      <t>. We should not assume they are interchangeable.</t>
    </r>
  </si>
  <si>
    <t>Include selectively if secondary diagnoses add meaningful case-mix/comorbidity insight.</t>
  </si>
  <si>
    <t>DIAGSEC 1–7 fields</t>
  </si>
  <si>
    <t>DIAGSEC8/9 noted as low-volume, emerging — see Section 5</t>
  </si>
  <si>
    <t>separate these from 1–7 because of their sparse, emerging use</t>
  </si>
  <si>
    <t>These are primarily interpretation fields for the corresponding secondary diagnosis variables, rather than standalone analytical variables.</t>
  </si>
  <si>
    <t>seful for understanding the requested procedure context.</t>
  </si>
  <si>
    <t>Particularly valuable because it represents the procedure actually performed.</t>
  </si>
  <si>
    <t>In-hospital outcome/characteristic. Important for comparing hospitalization patterns, but avoid causal interpretation.</t>
  </si>
  <si>
    <r>
      <t xml:space="preserve">Potentially useful, but only if its documented meaning adds something beyond </t>
    </r>
    <r>
      <rPr>
        <sz val="10"/>
        <color theme="1"/>
        <rFont val="Arial Unicode MS"/>
      </rPr>
      <t>DIAG_PRINC</t>
    </r>
    <r>
      <rPr>
        <sz val="11"/>
        <color theme="1"/>
        <rFont val="Calibri"/>
        <family val="2"/>
        <scheme val="minor"/>
      </rPr>
      <t xml:space="preserve"> and secondary diagnoses.</t>
    </r>
  </si>
  <si>
    <t>It only becomes relevant for analysing the subset of admissions resulting in death.</t>
  </si>
  <si>
    <t xml:space="preserve">secondary/exploratory </t>
  </si>
  <si>
    <t>Question 4: How do hospitalization costs vary with case mix and resource use?</t>
  </si>
  <si>
    <t>VAL_TOT</t>
  </si>
  <si>
    <t>VAL_SH</t>
  </si>
  <si>
    <t>VAL_SP</t>
  </si>
  <si>
    <t>VAL_SADT</t>
  </si>
  <si>
    <t>VAL_UTI</t>
  </si>
  <si>
    <t>VAL_UCI</t>
  </si>
  <si>
    <t xml:space="preserve">US_TOT </t>
  </si>
  <si>
    <t>FINANC</t>
  </si>
  <si>
    <t>FAEC_TP</t>
  </si>
  <si>
    <t xml:space="preserve"> FAEC financing subtype </t>
  </si>
  <si>
    <t xml:space="preserve"> Main diagnosis code -CID10</t>
  </si>
  <si>
    <t xml:space="preserve"> Secondary diagnosis code -ICD10</t>
  </si>
  <si>
    <t xml:space="preserve"> Total value of AIH </t>
  </si>
  <si>
    <t xml:space="preserve"> Value of hospital services </t>
  </si>
  <si>
    <t xml:space="preserve"> Value of professional services </t>
  </si>
  <si>
    <t xml:space="preserve"> Auxiliary diagnostic and therapy services </t>
  </si>
  <si>
    <t xml:space="preserve"> UTI value </t>
  </si>
  <si>
    <t xml:space="preserve"> UCI value</t>
  </si>
  <si>
    <t xml:space="preserve"> Total value, in dollars </t>
  </si>
  <si>
    <t xml:space="preserve"> Type of financing</t>
  </si>
  <si>
    <t xml:space="preserve">Financial </t>
  </si>
  <si>
    <t>Primary LOS measure</t>
  </si>
  <si>
    <t>Useful for temporal derivation/validation</t>
  </si>
  <si>
    <t>Patient and geography variables</t>
  </si>
  <si>
    <t>Diagnosis variables</t>
  </si>
  <si>
    <t>Length of stay variables</t>
  </si>
  <si>
    <t>assess whether it provides distinct information beyond length of stay and ICU/resource-use measures.</t>
  </si>
  <si>
    <t>ICU / UCI variables — pause before finalizing</t>
  </si>
  <si>
    <t>Facility variables</t>
  </si>
  <si>
    <t>It gives a useful care/bed-specialty dimension and could help explain variation in LOS and resource use.</t>
  </si>
  <si>
    <t>Core, but with an analytical caution. CNES is useful for facility-level variation, but there may be many facilities. Therefore, we probably won't simply put every CNES code into a dashboard.</t>
  </si>
  <si>
    <t>UTI_MES_TO</t>
  </si>
  <si>
    <t>UTI_INT_TO</t>
  </si>
  <si>
    <t>Number of ICU days in the month</t>
  </si>
  <si>
    <t>Resource Utilization</t>
  </si>
  <si>
    <t>Number of daily rates in intermediate unit</t>
  </si>
  <si>
    <t>check if MARCA_UTI and MARCA_UCI is same. Direct indicator of ICU/resource utilization; investigate coding and relationship with MARCA_UCI</t>
  </si>
  <si>
    <t>pending comparison of meaning, coding, overlap, and missingness. Direct indicator of intensive-care resource utilization; investigate whether distinct from or complementary to MARCA_UTI</t>
  </si>
  <si>
    <t>Amount/duration of intensive care use. Quantifies ICU utilization/duration</t>
  </si>
  <si>
    <t>Amount/duration of intensive care use.Quantifies ICU utilization/duration</t>
  </si>
  <si>
    <r>
      <t>1. Cost outcome</t>
    </r>
    <r>
      <rPr>
        <sz val="11"/>
        <color theme="1"/>
        <rFont val="Calibri"/>
        <family val="2"/>
        <scheme val="minor"/>
      </rPr>
      <t xml:space="preserve"> — what are we measuring?</t>
    </r>
  </si>
  <si>
    <r>
      <t>2. Cost drivers / explanatory dimensions</t>
    </r>
    <r>
      <rPr>
        <sz val="11"/>
        <color theme="1"/>
        <rFont val="Calibri"/>
        <family val="2"/>
        <scheme val="minor"/>
      </rPr>
      <t xml:space="preserve"> — what might costs vary with?</t>
    </r>
  </si>
  <si>
    <r>
      <t>3. Supporting breakdowns</t>
    </r>
    <r>
      <rPr>
        <sz val="11"/>
        <color theme="1"/>
        <rFont val="Calibri"/>
        <family val="2"/>
        <scheme val="minor"/>
      </rPr>
      <t xml:space="preserve"> — useful for decomposition, but not necessarily required for the main analysis.</t>
    </r>
  </si>
  <si>
    <t>Primary case-mix grouping</t>
  </si>
  <si>
    <t>May add clinical complexity/context; exact role relative to DIAGSEC1–9 should be confirmed</t>
  </si>
  <si>
    <t>Direct measure/classification of high-resource utilization</t>
  </si>
  <si>
    <t>Keep pending investigation of relationship with MARCA_UTI</t>
  </si>
  <si>
    <t>Potential utilization/cost-related measure, but interpretation needs confirmation</t>
  </si>
  <si>
    <t>Needed if examining facility-level variation in costs</t>
  </si>
  <si>
    <t>Useful for stratifying case mix/resource patterns</t>
  </si>
  <si>
    <t xml:space="preserve"> Length of stay / days hospitalized</t>
  </si>
  <si>
    <t>Major resource-use and cost dimension</t>
  </si>
  <si>
    <t>Primary cost outcome</t>
  </si>
  <si>
    <t>Useful for decomposing total cost</t>
  </si>
  <si>
    <t>Useful for understanding ICU-related cost composition</t>
  </si>
  <si>
    <t>Useful if sufficiently populated and interpretable</t>
  </si>
  <si>
    <t>We need to determine its relationship to VAL_TOT before using it</t>
  </si>
  <si>
    <t>Useful for stratification if meaningful variation exists</t>
  </si>
  <si>
    <t>Only relevant if the financing structure explains meaningful cost variation</t>
  </si>
  <si>
    <t>Proposed Metric</t>
  </si>
  <si>
    <t>Formula / Logic</t>
  </si>
  <si>
    <t>Required Variables</t>
  </si>
  <si>
    <t>Purpose</t>
  </si>
  <si>
    <t>Age group</t>
  </si>
  <si>
    <t>Derived from IDADE + COD_IDADE</t>
  </si>
  <si>
    <t>IDADE, COD_IDADE</t>
  </si>
  <si>
    <t>Demographic composition</t>
  </si>
  <si>
    <t>Diagnosis chapter</t>
  </si>
  <si>
    <t>Map DIAG_PRINC to ICD-10 chapter</t>
  </si>
  <si>
    <t>Case-mix analysis</t>
  </si>
  <si>
    <t>Calculated LOS</t>
  </si>
  <si>
    <t>DT_SAIDA - DT_INTER</t>
  </si>
  <si>
    <t>Dates</t>
  </si>
  <si>
    <r>
      <t xml:space="preserve">Validation/comparison with </t>
    </r>
    <r>
      <rPr>
        <sz val="10"/>
        <color theme="1"/>
        <rFont val="Arial Unicode MS"/>
      </rPr>
      <t>DIAS_PERM</t>
    </r>
  </si>
  <si>
    <t>ICU utilization flag</t>
  </si>
  <si>
    <t>UTI/ICU indicator &gt; 0</t>
  </si>
  <si>
    <t>ICU variables</t>
  </si>
  <si>
    <t>Resource intensity</t>
  </si>
  <si>
    <t>Cost per day</t>
  </si>
  <si>
    <t>VAL_TOT / DIAS_PERM</t>
  </si>
  <si>
    <r>
      <t>VAL_TOT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DIAS_PERM</t>
    </r>
  </si>
  <si>
    <t>Cost intensity</t>
  </si>
  <si>
    <t>High-cost admission</t>
  </si>
  <si>
    <t>Threshold-based</t>
  </si>
  <si>
    <t>Explore cost concentration</t>
  </si>
  <si>
    <t>might use care-location geography for resource-utilization comparisons.</t>
  </si>
  <si>
    <t>might use if geographic variation in cost is analyzed.</t>
  </si>
  <si>
    <t>Retain for initial combined-data exploration. Assess whether it contains meaningful non-zero values and whether it adds useful information to the cost analysis.</t>
  </si>
  <si>
    <t>dtype</t>
  </si>
  <si>
    <t>cardinality_jan</t>
  </si>
  <si>
    <t>range_jan</t>
  </si>
  <si>
    <t>possible_values</t>
  </si>
  <si>
    <t>grouping_guidance</t>
  </si>
  <si>
    <t>source</t>
  </si>
  <si>
    <t>int64</t>
  </si>
  <si>
    <t>0 to 99</t>
  </si>
  <si>
    <t>Continuous numeric value, not a coded category. Value interpretation DEPENDS on COD_IDADE (see below) -- IDADE alone is ambiguous without it.</t>
  </si>
  <si>
    <t>OFFICIAL PCDaS RULE for building an age-in-years variable: if COD_IDADE &lt; 4 (i.e. age recorded in days or months), treat age-in-years as 0. Only use raw IDADE directly as years when COD_IDADE = 4. Then bucket using one of three OFFICIAL PCDaS schemes (pick one, do not invent new cutoffs): (a) idade_bas [5 groups]: &lt;1, 1-4, 5-14, 15-49, 50+; (b) idade_pub [9 groups]: &lt;1, 1-4, 5-14, 15-24, 25-34, 35-44, 45-54, 55-64, 65+; (c) idade_18 [18 groups, 5-year bands]: &lt;1, 1-4, 5-9, 10-14, 15-19, 20-24...75-79, 80+. CAVEAT: the official rule does not explicitly define behavior for COD_IDADE=5 (undefined everywhere -- see below); by the literal rule (COD_IDADE&lt;4 is False for 5) it would fall through to being treated like a normal years-value, but every implausible-age record found in validation (Jan-Dec 2024) had COD_IDADE=5 -- treat these records with caution, consider flagging/excluding rather than assuming standard treatment applies.</t>
  </si>
  <si>
    <t>2 to 5</t>
  </si>
  <si>
    <t>2 = Dias (Days) | 3 = Meses (Months) | 4 = Anos (Years) | 5 = UNDEFINED (see below) | 0 = blank/not applicable (not observed in our data)</t>
  </si>
  <si>
    <t>Required companion to IDADE -- do not use IDADE without checking this field first. Code 5 has NO official definition in either the ETL wiki decode table or the PCDaS preview enrichment file -- confirmed absent from both primary sources checked. Strong empirical pattern: every single implausible-age record (NASC&gt;120yr) found across all 12 months of 2024 validation had COD_IDADE=5. Recommend treating COD_IDADE=5 as a data-quality flag for exclusion or separate handling in demographic grouping, not as a normal age unit.</t>
  </si>
  <si>
    <t>ETL-Dataiku-DSS Wiki (official) for codes 2-4; project validation findings for code 5 caveat</t>
  </si>
  <si>
    <t>ETL-Dataiku-DSS Wiki (official)</t>
  </si>
  <si>
    <t>1 to 99</t>
  </si>
  <si>
    <t>01 = Branca (White) | 02 = Preta (Black) | 03 = Parda (Mixed/Brown) | 04 = Amarela (Asian/Yellow) | 05 = Indigena (Indigenous) | 99 = Sem informacao (Not informed)</t>
  </si>
  <si>
    <t>*** DISCREPANCY FOUND, RESOLVED -- read before using ***  The official ETL wiki decode table literally lists code 05 as "Amarela" (same as code 04), which would be a duplicate/error. However, directly-decoded real values from the PCDaS preview output confirm 05 = "Indigena", matching the standard, current official Brazilian classification (IBGE-aligned, also used in the Coelho/Rocha/Hone 2024 academic paper on this exact field -- see references.md). CONCLUSION: use 05=Indigena. The wiki's 2019 documentation table almost certainly contains a copy-paste error for this one row; treat the real decoded data and external academic corroboration as authoritative over the wiki text for this specific code only. Code 99 declined 48% over 2024 (282-&gt;146), consistent with a documented national completeness-improvement trend -- not noise.</t>
  </si>
  <si>
    <t>ETL-Dataiku-DSS Wiki (official, contains one error) + preview_SIH.csv real decoded values (used to resolve) + Coelho/Rocha/Hone 2024 (external corroboration)</t>
  </si>
  <si>
    <t>110001 to 530010</t>
  </si>
  <si>
    <t>OUT OF SCOPE for full enumeration (vast cardinality, 5,570 unique municipality codes) per agreed scoping rule.</t>
  </si>
  <si>
    <t>Confirmed meaning via official documentation: this is the PATIENT-ORIGIN geography perspective (where the patient lives), distinct from MUNIC_MOV (where care was delivered) -- do not conflate the two. Official enrichment truncates to 6 characters and joins against a municipality master table (CADMUN) to get name, state, Amazonia/border/capital flags, and coordinates -- available if needed later, but not required for basic demographic grouping. For analysis, typically aggregate to STATE level (first 2 digits of the code = UF/state) rather than using all 5,570 raw municipality codes directly, unless municipality-level granularity is specifically needed.</t>
  </si>
  <si>
    <t>ETL-Dataiku-DSS Wiki (official) for meaning/mechanism; full municipality table available in lookup_tables/ if ever needed</t>
  </si>
  <si>
    <t>OUT OF SCOPE for full enumeration (vast cardinality, 3,009 unique codes) per agreed scoping rule.</t>
  </si>
  <si>
    <t>EXCLUDED from Q1 (demographic composition) per earlier decision -- this represents CARE-DELIVERY geography (where the hospital is), not a patient attribute. Belongs in Q3 (resource utilization) or the cross-cutting geography lens instead. Confirmed distinct from MUNIC_RES by official documentation -- do not use interchangeably.</t>
  </si>
  <si>
    <t>10 to 349</t>
  </si>
  <si>
    <t>OUT OF SCOPE for full enumeration (332 official codes exist; 137 observed in Jan 2024) per agreed scoping rule.</t>
  </si>
  <si>
    <t>Full official 332-code table available in lookup_tables/NACION3D.csv if ever needed. Given the analytical caution already raised (likely dominated by "Brazilian" with a long thin tail of rare values), recommend checking the actual top-10 value distribution before deciding whether this adds meaningful variation to Q1 -- if &gt;95% is one value, treat as low analytical value/Exploratory only, not Core.</t>
  </si>
  <si>
    <t>bases_auxiliares.zip / NACION3D.csv (official, complete)</t>
  </si>
  <si>
    <t>int64/str (mixed -- see caveat)</t>
  </si>
  <si>
    <t>0 to 263 (numeric codes); plus non-numeric X### codes appearing from Sep 2024 onward</t>
  </si>
  <si>
    <t>OUT OF SCOPE for full enumeration of the 265-code official table (see lookup_tables/ETNIA.csv for complete list). Sample confirmed values: 0000=Nao informado (Not informed) | 0035=Bare | 0057=Guajajara | 0058=Guarani Kaiowa | 0077=Kaingang | 0111=Kaxinawa | 0207=Terena, etc.</t>
  </si>
  <si>
    <t>Only analytically meaningful for the RACA_COR=5 (Indigenous) subgroup -- confirmed conditional field, same pattern as INSTRU. *** IMPORTANT ANOMALY: an alphanumeric "X###" format (e.g. X400, X306, X266) appears in real 2024 data from September onward (195 records total, Sep-Dec), confirmed 100% correlated with RACA_COR=5, but CONFIRMED ABSENT from the complete official 265-code lookup table (checked directly, zero letter-prefixed codes exist in it). Meaning of these specific codes remains unresolved -- do not assume a label, and consider excluding or separately flagging these 195 records if ETNIA-level grouping is attempted, since no official label can be attached to them. *** Also note: 0000 (Not informed) is converted to missing/NA in the official PCDaS pipeline -- replicate this if grouping.</t>
  </si>
  <si>
    <t>bases_auxiliares.zip / ETNIA.csv (official, complete) + project validation findings for the X### anomaly</t>
  </si>
  <si>
    <t>0 to 4</t>
  </si>
  <si>
    <t>0 = blank/not applicable | 1 = Analfabeto (Illiterate) | 2 = 1o grau (Elementary school) | 3 = 2o grau (High school) | 4 = 3o grau (Higher education/College) | 9 = blank (not observed)</t>
  </si>
  <si>
    <t>CONFIRMED conditional field, not a general demographic attribute -- per official DATASUS field layout, this is only populated for tubal ligation, C-section-with-ligation, or vasectomy admissions. High missingness/blank rate is expected by design, not a data quality issue. Correctly kept as Exploratory, not Core, for Q1.</t>
  </si>
  <si>
    <t>ETL-Dataiku-DSS Wiki (official) for codes; DATASUS SIH RD layout (official) for the conditional-population finding</t>
  </si>
  <si>
    <t>0 to 515105</t>
  </si>
  <si>
    <t>OUT OF SCOPE for full enumeration (2,651 official occupation codes exist; only 5 distinct values observed in Jan 2024) per agreed scoping rule.</t>
  </si>
  <si>
    <t>Full official table available in lookup_tables/CBO.csv if ever needed. Given only 5 distinct values appear in the entire January dataset (out of 2,651 possible codes), this field has very low practical variation in our data -- confirms the Exploratory designation; unlikely to support a meaningful occupation-based grouping without further investigation into why so few codes appear (likely near-universally blank/0, consistent with occupation rarely being recorded).</t>
  </si>
  <si>
    <t>bases_auxiliares.zip / CBO.csv (official, complete)</t>
  </si>
  <si>
    <t>110000 to 530000</t>
  </si>
  <si>
    <t>NOT a simple category list -- see caveat below. No official decode/enrichment step exists for this field anywhere in the documented PCDaS ETL pipeline.</t>
  </si>
  <si>
    <t>EXCLUDE from Q1 -- confirmed, do not reconsider. Three independent findings converge: (1) official DATASUS Notas Tecnicas documentation states this field can diverge from the hospital's actual physical location by design (payment-system linkage, not geography); (2) official RD file layout defines it as a 2-character STATE-level code (C(02), ~27-28 possible values per the official UF.csv table) -- but our actual data shows 2,134 unique values, structurally incompatible with a 2-digit code; (3) the complete official ETL wiki decode-table listing has NO entry for UF_ZI at all -- PCDaS's own pipeline does not attempt to decode or enrich this field, consistent with it being a low-analytical-value administrative artifact rather than a genuine geography variable.</t>
  </si>
  <si>
    <t>DATASUS Notas Tecnicas (official) + DATASUS RD layout (official) + ETL-Dataiku-DSS Wiki (official, confirms no decode exists) + bases_auxiliares.zip/UF.csv (confirms true state-code scale)</t>
  </si>
  <si>
    <t>str</t>
  </si>
  <si>
    <t>N/A (text ICD-10 codes)</t>
  </si>
  <si>
    <t>OUT OF SCOPE for enumeration -- 7,746 distinct ICD-10 codes observed in Jan alone.</t>
  </si>
  <si>
    <t>Do not attempt to group by raw code. Use the official PCDaS diagnosis hierarchy instead: truncate to 3 characters, then join against cid10_capitulos (Chapter), cid10_grupos (Group), cid10_categorias (Category) tables; use the FULL untruncated code for Subcategory. This is the confirmed, official "ICD-10 chapter" derived metric already resolved for your analysis plan -- implement as a separate derived column, not here.</t>
  </si>
  <si>
    <t>ETL-Dataiku-DSS Wiki (official) -- exact truncation/join mechanism confirmed</t>
  </si>
  <si>
    <t>0 to 0</t>
  </si>
  <si>
    <t>CONSTANT AT 0 all 12 months of 2024 -- confirmed, not a coded category with real variation.</t>
  </si>
  <si>
    <t>This field appears to be an older/legacy single-secondary-diagnosis field, superseded by the DIAGSEC1-9 multi-field structure (introduced/restructured per Portaria 1.324/2014). Since it never varies in 2024 data, it carries zero analytical information -- recommend Exclude or note as "legacy, unused" rather than Core/Supporting as currently marked. Do not confuse with DIAGSEC1-9, which ARE populated and vary.</t>
  </si>
  <si>
    <t>Project validation (12 months, confirmed constant) + Portaria 1.324/2014 (official, explains likely deprecation)</t>
  </si>
  <si>
    <t>TPDISEC (1-9 )-diagnosis type flags/ TPDISEC1 (and TPDISEC2-9, identical scheme)</t>
  </si>
  <si>
    <t>0 to 2</t>
  </si>
  <si>
    <t>0 = blank/not applicable | 1 = Pre-existente (Pre-existing condition) | 2 = Adquirido (Acquired during hospitalization)</t>
  </si>
  <si>
    <t>Confirmed identical decode scheme across all 9 TPDISEC fields (verified directly from preview data). Interpretation-only field for its corresponding DIAGSEC slot -- not a standalone analytical variable, correctly marked Supporting. Useful only alongside the DIAGSEC field it flags, e.g. to distinguish comorbidities present on admission vs. hospital-acquired conditions.</t>
  </si>
  <si>
    <t>ETL-Dataiku-DSS Wiki (official) + directly verified against preview_SIH.csv (identical scheme confirmed across TPDISEC1-9)</t>
  </si>
  <si>
    <t>201010038 to 506020134</t>
  </si>
  <si>
    <t>OUT OF SCOPE for enumeration -- 5,182 official procedure codes exist (1,648 observed in Jan alone).</t>
  </si>
  <si>
    <t>Full official table in lookup_tables/TB_SIGTAB.csv. Confirmed via official ETL documentation to be independently sourced from PROC_REA (separate join, not ambiguous). For grouping, consider using the procedure code's leading digits (SIGTAB has its own internal hierarchy/grouping by procedure type) rather than the full 10-digit code, if procedure-level case-mix analysis is needed.</t>
  </si>
  <si>
    <t>bases_auxiliares.zip / TB_SIGTAB.csv (official, complete) + ETL-Dataiku-DSS Wiki (confirms independent sourcing)</t>
  </si>
  <si>
    <t>OUT OF SCOPE for enumeration -- same 5,182-code table as PROC_SOLIC (1,597 observed in Jan).</t>
  </si>
  <si>
    <t>Same guidance as PROC_SOLIC. Note: in the 100-row preview sample, PROC_SOLIC and PROC_REA were identical in every row -- worth checking what % of your full dataset has these two fields differing, since that difference (requested vs. actually performed) could itself be an interesting data point.</t>
  </si>
  <si>
    <t>bases_auxiliares.zip / TB_SIGTAB.csv (official, complete)</t>
  </si>
  <si>
    <t>0 to 1</t>
  </si>
  <si>
    <t>0 = Sem obito (No death) | 1 = Com obito (Death occurred)</t>
  </si>
  <si>
    <t>Clean binary field, straightforward to use directly. Correctly marked Core. Remember the project-wide convention: report as "associated with" mortality, never "caused" -- no clinical severity adjustment available to support causal claims.</t>
  </si>
  <si>
    <t>float64</t>
  </si>
  <si>
    <t>N/A -- 100% missing</t>
  </si>
  <si>
    <t>0 = Nao (No) | 1 = Sim (Yes) -- per official scheme, but NEVER populated in our actual 2024 data (confirmed 100% missing every month, all 12 months).</t>
  </si>
  <si>
    <t>Correctly Excluded. Official code scheme exists and is simple, but irrelevant here since the field carries zero information in this dataset.</t>
  </si>
  <si>
    <t>ETL-Dataiku-DSS Wiki (official) for scheme; project validation (12 months) for 100% missingness</t>
  </si>
  <si>
    <t>CONSTANT AT 0 all 12 months of 2024 -- NEWLY CONFIRMED during this review (not previously flagged in the stable-constant list).</t>
  </si>
  <si>
    <t>Likely explained by Portaria 1.324/2014, which explicitly removed "Diagnostico Causas Complementares" from the official SIH layout. This field appears to be a deprecated placeholder retained for schema compatibility, not a genuine data source. Recommend Exclude, or explicitly Note as "deprecated field, always 0" rather than leaving as Exploratory.</t>
  </si>
  <si>
    <t>Project validation (12 months, newly confirmed constant) + Portaria 1.324/2014 (official, likely explanation)</t>
  </si>
  <si>
    <t>CONSTANT AT 0 all 12 months of 2024 -- NEWLY CONFIRMED during this review.</t>
  </si>
  <si>
    <t>Same explanation as CID_ASSO: Portaria 1.324/2014 explicitly removed "Diagnostico da Causa Morte" from the official layout. Deprecated placeholder, always 0. Even for the death-subset analysis originally proposed, this field will add nothing -- recommend Exclude rather than Exploratory.</t>
  </si>
  <si>
    <t>DIAS_PERM/</t>
  </si>
  <si>
    <t xml:space="preserve"> Days of stay (length of stay)</t>
  </si>
  <si>
    <t>0 to 358</t>
  </si>
  <si>
    <t>Continuous day-count, not a coded category. Raw values run 0-358 days.</t>
  </si>
  <si>
    <t>PRIMARY LOS measure -- confirmed correct as Core. A separate OFFICIAL PCDaS bucketing scheme exists as a distinct derived field (def_dias_perm): 0/1/2/3/4/5/6/7 days individually, then 8-14, 15-21, 22-28, 29+ as ranges. This is an authoritative alternative to inventing arbitrary LOS-category cutoffs if categorization is needed -- cite this scheme rather than picking new thresholds. Raw DIAS_PERM itself is NOT stored in this binned form -- confirmed via direct validation (values up to 358 observed), the binning is a separate official enrichment step only.</t>
  </si>
  <si>
    <t>Project validation (12 months) for raw field; ETL-Dataiku-DSS Wiki (official) for the alternative bucketing scheme</t>
  </si>
  <si>
    <t>int64 (YYYYMMDD)</t>
  </si>
  <si>
    <t>N/A (dates)</t>
  </si>
  <si>
    <t>Jan 2024 (DT_INTER also shows historical carryover admissions back to 2008)</t>
  </si>
  <si>
    <t>Not coded categories -- raw calendar dates.</t>
  </si>
  <si>
    <t>Used to derive calculated LOS (DT_SAIDA - DT_INTER) as a validation check against DIAS_PERM, per your earlier decision to keep DIAS_PERM as primary and treat the date-difference as a supporting/validation variable, not a replacement.</t>
  </si>
  <si>
    <t>Project validation (12 months)</t>
  </si>
  <si>
    <t>00=Nao utilizou UTI (Did not use ICU) | 74=UTI adulto tipo I (Adult ICU type I) | 75=tipo II | 76=tipo III | 77=UTI infantil tipo I (Pediatric ICU type I) | 78=tipo II | 79=tipo III | 80=UTI neonatal tipo I (Neonatal ICU type I) | 81=tipo II | 82=tipo III | 83=UTI de queimados (Burn ICU) | 85=UTI coronariana tipo II (Coronary ICU type II) | 86=tipo III | 99=UTI Doador (Donor ICU) | 01=Utilizou mais de um tipo de UTI (Used more than one ICU type)</t>
  </si>
  <si>
    <t>Full official scheme, confirmed complete (15 codes matches your validated cardinality exactly). For a binary "used ICU at all" flag, group as: 00=No, everything else=Yes. For ICU-type analysis, group into Adult/Pediatric/Neonatal/Coronary/Burn/Donor/Multiple categories using the codes above.</t>
  </si>
  <si>
    <t>ETL-Dataiku-DSS Wiki (official, complete match to validated cardinality)</t>
  </si>
  <si>
    <t>0 to 3</t>
  </si>
  <si>
    <t>00=Nao utilizou UCI (Did not use intermediate care) | 01=Unidade de cuidados intermed neonatal convencional (Conventional neonatal intermediate care) | 02=Unidade de cuidados intermed neonatal canguru (Kangaroo-care neonatal intermediate unit) | 03=Unidade intermediaria neonatal (Neonatal intermediate unit)</t>
  </si>
  <si>
    <t>CONFIRMED distinct from MARCA_UTI -- MARCA_UCI is specifically neonatal intermediate care (a lower-intensity step than full ICU), while MARCA_UTI covers full ICU across all patient types. They are complementary, not overlapping/redundant -- both can be kept as Core per your existing decision, now with confirmed non-overlapping definitions to justify it.</t>
  </si>
  <si>
    <t>Continuous numeric value, not a coded category.</t>
  </si>
  <si>
    <t>Range matches DIAS_PERM almost exactly (0-358 in both). Worth directly checking correlation/overlap between QT_DIARIAS and DIAS_PERM before treating as a distinct metric -- they may be measuring nearly the same thing (billing days vs. stay days), which would support your "assess whether it adds distinct information" comment.</t>
  </si>
  <si>
    <t>0 to 277</t>
  </si>
  <si>
    <t>Continuous day-count. NOTE: PCDaS also builds a separate BINARY derived flag from this field (def_uti_mes_to / def_diarias_uti): 000=Nao (No), 001-998=Sim (Yes), 999=Sim (Yes, capped).</t>
  </si>
  <si>
    <t>This directly resolves your pending "ICU utilization flag" derived metric: the official PCDaS logic is simply "0 = did not use ICU this month, any nonzero value = did use ICU" -- confirms the straightforward binary threshold approach you were already leaning toward, with official precedent rather than an invented rule.</t>
  </si>
  <si>
    <t>ETL-Dataiku-DSS Wiki (official) -- confirms both the raw field and an official binary-flag precedent</t>
  </si>
  <si>
    <t>0 to 95</t>
  </si>
  <si>
    <t>Continuous day-count, no official binary-flag variant found (unlike UTI_MES_TO).</t>
  </si>
  <si>
    <t>Apply the same "0=No, nonzero=Yes" logic as UTI_MES_TO for consistency, even though no official precedent was found for this specific field -- reasonable extension given the parallel structure between the two fields.</t>
  </si>
  <si>
    <t>Project validation (12 months); no official decode found for this specific field</t>
  </si>
  <si>
    <t>N/A (facility ID)</t>
  </si>
  <si>
    <t>OUT OF SCOPE for enumeration -- 4,513 distinct facility codes, no small lookup table applicable (each code is a unique real-world hospital).</t>
  </si>
  <si>
    <t>Correctly Core but flagged with caution in your notes -- agree, do not put all 4,513 facilities into a single chart. Consider grouping by facility VOLUME (e.g., top 20 facilities by admission count vs. "all others") or by ESPEC/NAT_JUR/geography instead of raw CNES for most visualizations.</t>
  </si>
  <si>
    <t>N/A (categorical)</t>
  </si>
  <si>
    <t>FULL official scheme (38 codes exist; 15 observed in Jan 2024): 01=Cirurgico (Surgical) | 02=Obstetricos (Obstetric) | 03=Clinico (Clinical/Medical) | 04=Cronicos (Chronic care) | 05=Psiquiatria (Psychiatry) | 06=Pneumologia Sanitaria (Respiratory/TB) | 07=Pediatria (Pediatrics) | ...(see lookup_tables/LEITOS.csv for the complete 38-code list, including specialized ICU/UCI bed-type variants coded 74-95).</t>
  </si>
  <si>
    <t>Confirmed richer than the sample originally found (38 official codes vs. 4 initially seen). Good candidate for a facility/care-type dimension in Q3 resource-utilization analysis, e.g. grouping LOS or cost by broad specialty category (Surgical/Obstetric/Clinical/Psychiatric/etc).</t>
  </si>
  <si>
    <t>bases_auxiliares.zip / LEITOS.csv (official, complete)</t>
  </si>
  <si>
    <t>N/A -- constant</t>
  </si>
  <si>
    <t>CONSTANT at one value all 12 months of 2024 (confirmed). Official scheme exists (10/20/30...94 = Public/Private/University categories, plus 00="" blank) but never varies in practice here.</t>
  </si>
  <si>
    <t>Correctly Excluded -- "MOSTLY 0" comment confirmed precisely: constant, not just mostly. Zero analytical value in this dataset.</t>
  </si>
  <si>
    <t>Project validation (12 months, confirmed constant) + ETL-Dataiku-DSS Wiki (official scheme, for completeness)</t>
  </si>
  <si>
    <t>27 distinct codes observed out of ~90 possible official codes. Common examples: 1023=Orgao Publico do Poder Exec Estadual (State Executive Public Body) | 2062=Sociedade Empresaria Limitada (Private Limited Company) | 3999=Associacao Privada (Private Association) | 3220=Organizacao Religiosa (Religious Organization). Full 90-code list in lookup_tables (from ETL wiki table). ALSO: an official BROADER classification exists (def_esferajur) that groups these ~90 detailed codes into simpler categories like "Administracao Publica Estadual", "Entidades sem Fins Lucrativos" (Non-profit), etc.</t>
  </si>
  <si>
    <t>For most analysis purposes, the broader esferajur grouping (Public/Private/Non-profit/etc.) will likely be more useful and interpretable than the full 27-90 detailed legal-nature codes. Recommend using the broader grouping as the primary Exploratory variable, with detailed NAT_JUR only if a specific sub-category needs investigation.</t>
  </si>
  <si>
    <t>ETL-Dataiku-DSS Wiki (official, complete 90-code table + broader esferajur classification)</t>
  </si>
  <si>
    <t>N/A (categorical, mixed alphanumeric per official scheme)</t>
  </si>
  <si>
    <t>0=Estadual (State-managed) | 2=Estadual plena (Full state management) | 1=Municipal plena assist (Full municipal management) | E=Estadual plena | M=Municipal plena assist | 3/4/5/6/7/8/9=blank (not observed)</t>
  </si>
  <si>
    <t>Only 2 distinct values observed in our actual Jan 2024 data (out of the theoretical scheme above) -- worth checking exactly which 2 before finalizing a grouping, since the field officially mixes numeric and letter codes (E, M) that may represent the same categories as 0-2 in different eras/formats.</t>
  </si>
  <si>
    <t>0.0 to 232814.38</t>
  </si>
  <si>
    <t>Continuous monetary value (BRL), not a coded category.</t>
  </si>
  <si>
    <t>PRIMARY cost outcome, confirmed correct as Core. This is an administrative AIH reimbursement value, not necessarily a literal clinical "cost" -- frame as "hospitalization value/reimbursement" in write-ups for precision, per earlier discussion.</t>
  </si>
  <si>
    <t>0.0 to 193059.98</t>
  </si>
  <si>
    <t>Continuous monetary value, not a coded category.</t>
  </si>
  <si>
    <t>Confirmed correct as Supporting -- useful cost-decomposition component (hospital vs. professional services split alongside VAL_SP).</t>
  </si>
  <si>
    <t>0.0 to 47327.19</t>
  </si>
  <si>
    <t>Confirmed correct as Supporting -- same decomposition role as VAL_SH.</t>
  </si>
  <si>
    <t>0.0 to 0.0</t>
  </si>
  <si>
    <t>CONSTANT AT 0.0 all 12 months of 2024 -- confirmed, one of 12 verified always-zero financial fields.</t>
  </si>
  <si>
    <t>Your sheet's comment says "Assess whether it contains meaningful non-zero values" -- confirmed answer: it does not, in any month of 2024. Safe to finalize as Exclude with no further checking needed; this was already resolved during the original 12-month validation (diff_log.md).</t>
  </si>
  <si>
    <t>Project validation (12 months, confirmed constant across full year)</t>
  </si>
  <si>
    <t>0.0 to 166200.0</t>
  </si>
  <si>
    <t>Confirmed correct as Supporting -- genuinely variable (743 distinct values), useful for ICU-cost decomposition alongside MARCA_UTI/UTI_MES_TO.</t>
  </si>
  <si>
    <t>0.0 to 18630.0</t>
  </si>
  <si>
    <t>Confirmed correct as Supporting -- genuinely variable (412 distinct values), pairs with MARCA_UCI.</t>
  </si>
  <si>
    <t>0.0 to 47033.2</t>
  </si>
  <si>
    <t>Your comment correctly flags needing its relationship to VAL_TOT confirmed -- not resolved by any source checked in this session. Recommend a direct correlation/ratio check (US_TOT vs VAL_TOT) before deciding its role; likely a currency-unit conversion of the same underlying value rather than an independent metric, but not yet confirmed.</t>
  </si>
  <si>
    <t>Not resolved -- flagged as an open item, no official documentation found addressing this specific field's relationship to VAL_TOT</t>
  </si>
  <si>
    <t>4 to 6</t>
  </si>
  <si>
    <t>01=Atencao Basica/PAB (Primary Care) | 02=Assistencia Farmaceutica (Pharmaceutical Assistance) | 04=FAEC | 05=Incentivo-MAC | 06=Media e Alta Complexidade/MAC (Medium/High Complexity) | 07=Vigilancia em Saude (Health Surveillance) | 00/99=blank</t>
  </si>
  <si>
    <t>Only 2 distinct values observed in Jan 2024 (within the 4-6 range) -- given hospital admissions data, likely dominated by code 06 (MAC, the standard hospitalization financing type), with 04 (FAEC) as the secondary value. Worth confirming exact 2 values before finalizing as a Supporting stratification variable.</t>
  </si>
  <si>
    <t>40024.0 to 40084.0</t>
  </si>
  <si>
    <t>~50+ official subtype codes exist (e.g. 040001=Coleta de material, 040017=Nefrologia, 040026=Tratamento de queimados, 040041=Central Nacional Regulacao Alta Complexidade). Full list in ETL wiki table (large, not inlined here).</t>
  </si>
  <si>
    <t>Given ~94% missingness (only relevant when FINANC=FAEC specifically) and 14 distinct codes observed within a narrow 40024-40084 range, this is a niche/conditional field. Correctly marked Supporting/conditional -- only worth deep investigation if FAEC-financed admissions become a specific sub-question, not for the main cost analysis.</t>
  </si>
  <si>
    <t>ETL-Dataiku-DSS Wiki (official, complete but large)</t>
  </si>
  <si>
    <t>N/A</t>
  </si>
  <si>
    <t>See Q2_variable_reference.csv -- same field, same guidance (use official ICD-10 chapter mapping, do not enumerate raw codes).</t>
  </si>
  <si>
    <t>Cross-reference Q2 entry -- avoids duplicating the same lengthy guidance here.</t>
  </si>
  <si>
    <t>See Q2_variable_reference.csv</t>
  </si>
  <si>
    <t>--</t>
  </si>
  <si>
    <t>See Q3_variable_reference.csv -- identical fields, identical guidance applies for cost-analysis stratification purposes.</t>
  </si>
  <si>
    <t>Cross-reference Q3 entries rather than duplicating.</t>
  </si>
  <si>
    <t>See Q3_variable_reference.csv</t>
  </si>
  <si>
    <t>ETL-Dataiku-DSS Wiki (official), cross-checked against 12 months of validation findings</t>
  </si>
  <si>
    <t>6,629 / 3,033 / 1,830 / 1,152 / 600 / 302 / 139 (slots 1-7 respectively)</t>
  </si>
  <si>
    <t>OUT OF SCOPE for enumeration -- same vast ICD-10 code space as DIAG_PRINC. Missingness by slot (Jan 2024, stable pattern all year): DIAGSEC1=77.11% missing | DIAGSEC2=97.27% | DIAGSEC3=98.87% | DIAGSEC4=99.52% | DIAGSEC5=99.82% | DIAGSEC6=99.94% | DIAGSEC7=99.98%.</t>
  </si>
  <si>
    <t>CONFIRMED sequential-fill structure: slots populate in order (a record with DIAGSEC3 filled will always have DIAGSEC1-2 filled too -- verified directly during the DIAGSEC8/9 investigation, zero gaps found across all inspected records). This means slot number roughly proxies "number of recorded secondary diagnoses" for an admission. IMPORTANT SCOPING NOTE: the official PCDaS ICD-10 chapter/group/category hierarchy enrichment is ONLY built for DIAGSEC1 specifically -- PCDaS's own pipeline does not extend chapter-mapping to DIAGSEC2-9. For case-mix/comorbidity analysis: (a) DIAGSEC1 can reasonably get the same chapter-mapping treatment as DIAG_PRINC if a "primary comorbidity" dimension is wanted; (b) a simple COUNT of populated DIAGSEC1-7 slots per admission is a defensible "recorded diagnostic complexity" indicator -- but per the earlier ChatGPT review, do NOT call this a "comorbidity index" (that implies a validated clinical scale like Charlson/Elixhauser, which this is not). Call it "secondary diagnosis count" or "diagnostic complexity indicator" instead.</t>
  </si>
  <si>
    <t>Project validation (12 months, exact missingness confirmed) + ETL-Dataiku-DSS Wiki (official, confirms DIAGSEC1-only hierarchy scope) + project DIAGSEC8/9 investigation (sequential-fill pattern)</t>
  </si>
  <si>
    <t>float64 (Jan-Mar, all-null) -&gt; str (Apr onward, once populated)</t>
  </si>
  <si>
    <t>100% missing Jan-Mar 2024; populated from April onward</t>
  </si>
  <si>
    <t>OUT OF SCOPE for enumeration (same ICD-10 code space). Not a fixed category -- this is a field whose very presence of data changed during the year.</t>
  </si>
  <si>
    <t>FULL-YEAR TREND (from diff_log.md): 100% missing Jan-Mar. First populated April 2024 (11 combined records), then 294 (May), 410 (Jun, peak), 366 (Jul), 293 (Aug), 310 (Sep), 340 (Oct), 346 (Nov), 399 (Dec). Never reverted to the Jan-Mar baseline of zero -- confirmed as a permanent shift in coding practice starting April 2024, not a temporary anomaly. DIAGSEC9 is confirmed a strict subset of DIAGSEC8 (zero records have slot 9 populated without slot 8 also populated, verified directly). Your sheet's "Conditional" decision and separation from slots 1-7 is well justified -- these two slots behave structurally differently (near-zero before April, then a real emerging pattern) and should NOT be pooled with DIAGSEC1-7 in a combined "secondary diagnosis count" metric, since doing so would silently change that metric's meaning partway through the year. If included in any 2024 full-year analysis, flag April onward as the period where 9-slot data became available, rather than treating all 12 months as equivalent.</t>
  </si>
  <si>
    <t>diff_log.md (full 12-month tracking, this project) + project DIAGSEC8/9 investigation (Apr/May 2024, sequential-fill and subset relationship confirmed)</t>
  </si>
  <si>
    <t xml:space="preserve"> N_AIH</t>
  </si>
  <si>
    <t>Dataset structure/unit of analysis/ Technical / Identifier</t>
  </si>
  <si>
    <t>Variables to be extracted</t>
  </si>
  <si>
    <t>This represents care/hospitalization geography, not patient demographics</t>
  </si>
  <si>
    <t>DIAGSEC1</t>
  </si>
  <si>
    <t>DIAGSEC2</t>
  </si>
  <si>
    <t>DIAGSEC3</t>
  </si>
  <si>
    <t>DIAGSEC4</t>
  </si>
  <si>
    <t>DIAGSEC5</t>
  </si>
  <si>
    <t>DIAGSEC6</t>
  </si>
  <si>
    <t>DIAGSEC7</t>
  </si>
  <si>
    <t>DIAGSEC8</t>
  </si>
  <si>
    <t>DIAGSEC9</t>
  </si>
  <si>
    <t>TPDISEC1</t>
  </si>
  <si>
    <t>TPDISEC2</t>
  </si>
  <si>
    <t>TPDISEC3</t>
  </si>
  <si>
    <t>TPDISEC4</t>
  </si>
  <si>
    <t>TPDISEC5</t>
  </si>
  <si>
    <t>TPDISEC6</t>
  </si>
  <si>
    <t>TPDISEC7</t>
  </si>
  <si>
    <t>TPDISEC8</t>
  </si>
  <si>
    <t>TPDISEC9</t>
  </si>
  <si>
    <r>
      <t>ANO_CMPT</t>
    </r>
    <r>
      <rPr>
        <sz val="11"/>
        <color theme="1"/>
        <rFont val="Calibri"/>
        <family val="2"/>
        <scheme val="minor"/>
      </rPr>
      <t/>
    </r>
  </si>
  <si>
    <t>MES_CMPT</t>
  </si>
  <si>
    <t>identifier</t>
  </si>
  <si>
    <t>Patient / Demographic</t>
  </si>
  <si>
    <t>Outcome</t>
  </si>
  <si>
    <t>Admission / Time</t>
  </si>
  <si>
    <t>Facility</t>
  </si>
  <si>
    <t>Financial</t>
  </si>
  <si>
    <t>JAN</t>
  </si>
  <si>
    <t>row count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</si>
  <si>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</si>
  <si>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</si>
  <si>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</si>
  <si>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</si>
  <si>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</si>
  <si>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</si>
  <si>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</si>
  <si>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</si>
  <si>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</si>
  <si>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</si>
  <si>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</si>
  <si>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int64/str</t>
  </si>
  <si>
    <t>INTEGER</t>
  </si>
  <si>
    <t>python_extraction</t>
  </si>
  <si>
    <t>SQL_combining_together</t>
  </si>
  <si>
    <t>VARCHAR(50)</t>
  </si>
  <si>
    <t>REAL</t>
  </si>
  <si>
    <t>BIGINT</t>
  </si>
  <si>
    <t>13786854-confirmed count of combined dataset SQL</t>
  </si>
  <si>
    <t>DLL changes made before combining datasets</t>
  </si>
  <si>
    <t>ANO_CMPT|MES_CMPT|rows_per_month|</t>
  </si>
  <si>
    <t xml:space="preserve">    2024|       1|       1107877|</t>
  </si>
  <si>
    <t xml:space="preserve">    2024|       2|       1092862|</t>
  </si>
  <si>
    <t xml:space="preserve">    2024|       3|       1183297|</t>
  </si>
  <si>
    <t xml:space="preserve">    2024|       4|       1220168|</t>
  </si>
  <si>
    <t xml:space="preserve">    2024|       5|       1217431|</t>
  </si>
  <si>
    <t xml:space="preserve">    2024|       6|       1179843|</t>
  </si>
  <si>
    <t xml:space="preserve">    2024|       7|       1186206|</t>
  </si>
  <si>
    <t xml:space="preserve">    2024|       8|       1142359|</t>
  </si>
  <si>
    <t xml:space="preserve">    2024|       9|       1117171|</t>
  </si>
  <si>
    <t xml:space="preserve">    2024|      10|       1188544|</t>
  </si>
  <si>
    <t xml:space="preserve">    2024|      11|       1061011|</t>
  </si>
  <si>
    <t xml:space="preserve">    2024|      12|       1090085|</t>
  </si>
  <si>
    <t>TOTAL</t>
  </si>
  <si>
    <t>1 = Masculino (Male) | 2 = Feminino (Female) -- legacy code, NOT observed in our 2024 data | 3 = Feminino (Female) | 0/9 = blank (not observed)</t>
  </si>
  <si>
    <t>Only codes 1 and 3 appear in our actual 2024 data (confirmed across all 12 months). Group as: 1=Male, 3=Female. Code 2 is an officially-defined but deprecated/unused legacy value -- safe to ignore in practice, no need to handle it defensively.</t>
  </si>
  <si>
    <t>1 to 3</t>
  </si>
  <si>
    <t>continuation/long-stay</t>
  </si>
  <si>
    <t>resource-intensity combinations</t>
  </si>
  <si>
    <t>List of variables for analysis ready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</si>
</sst>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2E74B5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rgb="FF2E74B5"/>
      <name val="Times New Roman"/>
      <family val="1"/>
    </font>
    <font>
      <b/>
      <sz val="16"/>
      <color theme="1"/>
      <name val="Calibri"/>
      <family val="2"/>
      <scheme val="minor"/>
    </font>
    <font>
      <b/>
      <sz val="16"/>
      <color rgb="FF5B9BD5"/>
      <name val="Times New Roman"/>
      <family val="1"/>
    </font>
    <font>
      <b/>
      <sz val="16"/>
      <color theme="4"/>
      <name val="Times New Roman"/>
      <family val="1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4" borderId="0" applyNumberFormat="0" applyBorder="0" applyAlignment="0" applyProtection="0"/>
  </cellStyleXfs>
  <cellXfs count="8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 indent="3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NumberFormat="1" applyFont="1"/>
    <xf numFmtId="0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horizontal="left" vertical="center" indent="3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NumberFormat="1" applyFont="1" applyAlignment="1">
      <alignment vertical="center"/>
    </xf>
    <xf numFmtId="0" fontId="0" fillId="2" borderId="0" xfId="0" applyNumberFormat="1" applyFont="1" applyFill="1" applyAlignment="1">
      <alignment vertical="center"/>
    </xf>
    <xf numFmtId="0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vertical="center" wrapText="1"/>
    </xf>
    <xf numFmtId="0" fontId="0" fillId="3" borderId="0" xfId="0" applyFill="1"/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0" xfId="0" applyNumberFormat="1" applyFill="1"/>
    <xf numFmtId="0" fontId="0" fillId="0" borderId="0" xfId="0" applyFill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9" fillId="0" borderId="0" xfId="0" applyFont="1"/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9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Fill="1" applyAlignment="1">
      <alignment horizontal="left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3" borderId="0" xfId="0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/>
    <xf numFmtId="0" fontId="4" fillId="0" borderId="0" xfId="0" applyFont="1"/>
    <xf numFmtId="3" fontId="0" fillId="0" borderId="0" xfId="0" applyNumberFormat="1"/>
    <xf numFmtId="0" fontId="13" fillId="0" borderId="0" xfId="0" applyFont="1"/>
    <xf numFmtId="0" fontId="14" fillId="4" borderId="0" xfId="1"/>
    <xf numFmtId="0" fontId="0" fillId="0" borderId="0" xfId="0" applyAlignment="1">
      <alignment vertical="top" wrapText="1"/>
    </xf>
    <xf numFmtId="0" fontId="9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Fill="1" applyAlignment="1">
      <alignment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</cellXfs>
  <cellStyles count="2">
    <cellStyle name="Bad" xfId="1" builtinId="27"/>
    <cellStyle name="Normal" xfId="0" builtinId="0"/>
  </cellStyles>
  <dxfs count="34"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4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4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4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9"/>
  <sheetViews>
    <sheetView workbookViewId="0">
      <selection activeCell="A24" sqref="A24"/>
    </sheetView>
  </sheetViews>
  <sheetFormatPr defaultRowHeight="14.4"/>
  <cols>
    <col min="1" max="1" width="76.5546875" style="15" customWidth="1"/>
    <col min="2" max="2" width="22.88671875" customWidth="1"/>
    <col min="4" max="4" width="12" customWidth="1"/>
    <col min="5" max="5" width="13.77734375" customWidth="1"/>
    <col min="6" max="6" width="21" customWidth="1"/>
  </cols>
  <sheetData>
    <row r="1" spans="1:6" s="44" customFormat="1" ht="23.4">
      <c r="A1" s="68" t="s">
        <v>382</v>
      </c>
      <c r="B1" s="69" t="s">
        <v>381</v>
      </c>
    </row>
    <row r="3" spans="1:6">
      <c r="A3" s="15" t="s">
        <v>452</v>
      </c>
    </row>
    <row r="4" spans="1:6" ht="33.6" customHeight="1">
      <c r="A4" s="67" t="s">
        <v>383</v>
      </c>
      <c r="B4" s="67" t="s">
        <v>2</v>
      </c>
      <c r="C4" t="s">
        <v>212</v>
      </c>
      <c r="D4" s="74" t="s">
        <v>426</v>
      </c>
      <c r="E4" s="74" t="s">
        <v>427</v>
      </c>
      <c r="F4" s="74" t="s">
        <v>432</v>
      </c>
    </row>
    <row r="5" spans="1:6" ht="15.6">
      <c r="A5" s="72" t="s">
        <v>381</v>
      </c>
      <c r="B5" t="s">
        <v>405</v>
      </c>
      <c r="C5" t="s">
        <v>218</v>
      </c>
      <c r="E5" t="s">
        <v>430</v>
      </c>
    </row>
    <row r="6" spans="1:6">
      <c r="A6" s="39" t="s">
        <v>17</v>
      </c>
      <c r="B6" t="s">
        <v>406</v>
      </c>
      <c r="C6" t="s">
        <v>218</v>
      </c>
      <c r="E6" t="s">
        <v>425</v>
      </c>
    </row>
    <row r="7" spans="1:6">
      <c r="A7" s="39" t="s">
        <v>18</v>
      </c>
      <c r="B7" t="s">
        <v>406</v>
      </c>
      <c r="C7" t="s">
        <v>218</v>
      </c>
      <c r="E7" t="s">
        <v>425</v>
      </c>
    </row>
    <row r="8" spans="1:6">
      <c r="A8" s="39" t="s">
        <v>19</v>
      </c>
      <c r="B8" t="s">
        <v>406</v>
      </c>
      <c r="C8" t="s">
        <v>218</v>
      </c>
      <c r="E8" t="s">
        <v>425</v>
      </c>
    </row>
    <row r="9" spans="1:6">
      <c r="A9" s="39" t="s">
        <v>20</v>
      </c>
      <c r="B9" t="s">
        <v>406</v>
      </c>
      <c r="C9" t="s">
        <v>218</v>
      </c>
      <c r="E9" t="s">
        <v>425</v>
      </c>
    </row>
    <row r="10" spans="1:6">
      <c r="A10" s="65" t="s">
        <v>24</v>
      </c>
      <c r="B10" t="s">
        <v>406</v>
      </c>
      <c r="C10" t="s">
        <v>218</v>
      </c>
      <c r="E10" t="s">
        <v>425</v>
      </c>
    </row>
    <row r="11" spans="1:6">
      <c r="A11" s="65" t="s">
        <v>25</v>
      </c>
      <c r="B11" t="s">
        <v>406</v>
      </c>
      <c r="C11" t="s">
        <v>424</v>
      </c>
      <c r="D11" t="s">
        <v>258</v>
      </c>
      <c r="E11" s="73" t="s">
        <v>425</v>
      </c>
      <c r="F11" t="s">
        <v>428</v>
      </c>
    </row>
    <row r="12" spans="1:6">
      <c r="A12" s="65" t="s">
        <v>26</v>
      </c>
      <c r="B12" t="s">
        <v>406</v>
      </c>
      <c r="C12" t="s">
        <v>218</v>
      </c>
      <c r="E12" t="s">
        <v>425</v>
      </c>
    </row>
    <row r="13" spans="1:6">
      <c r="A13" s="65" t="s">
        <v>29</v>
      </c>
      <c r="B13" t="s">
        <v>406</v>
      </c>
      <c r="C13" t="s">
        <v>218</v>
      </c>
      <c r="E13" t="s">
        <v>425</v>
      </c>
    </row>
    <row r="14" spans="1:6">
      <c r="A14" s="39" t="s">
        <v>21</v>
      </c>
      <c r="B14" t="s">
        <v>16</v>
      </c>
      <c r="C14" t="s">
        <v>218</v>
      </c>
      <c r="E14" t="s">
        <v>425</v>
      </c>
    </row>
    <row r="15" spans="1:6">
      <c r="A15" s="65" t="s">
        <v>23</v>
      </c>
      <c r="B15" t="s">
        <v>16</v>
      </c>
      <c r="C15" t="s">
        <v>218</v>
      </c>
      <c r="E15" t="s">
        <v>425</v>
      </c>
    </row>
    <row r="16" spans="1:6">
      <c r="A16" s="65" t="s">
        <v>57</v>
      </c>
      <c r="B16" t="s">
        <v>56</v>
      </c>
      <c r="C16" s="39" t="s">
        <v>258</v>
      </c>
      <c r="E16" t="s">
        <v>428</v>
      </c>
    </row>
    <row r="17" spans="1:5">
      <c r="A17" s="65" t="s">
        <v>58</v>
      </c>
      <c r="B17" t="s">
        <v>56</v>
      </c>
      <c r="C17" s="39" t="s">
        <v>218</v>
      </c>
      <c r="E17" t="s">
        <v>425</v>
      </c>
    </row>
    <row r="18" spans="1:5">
      <c r="A18" s="65" t="s">
        <v>385</v>
      </c>
      <c r="B18" t="s">
        <v>56</v>
      </c>
      <c r="C18" s="39" t="s">
        <v>258</v>
      </c>
      <c r="E18" t="s">
        <v>428</v>
      </c>
    </row>
    <row r="19" spans="1:5">
      <c r="A19" s="65" t="s">
        <v>386</v>
      </c>
      <c r="B19" t="s">
        <v>56</v>
      </c>
      <c r="C19" s="39" t="s">
        <v>258</v>
      </c>
      <c r="E19" t="s">
        <v>428</v>
      </c>
    </row>
    <row r="20" spans="1:5">
      <c r="A20" s="65" t="s">
        <v>387</v>
      </c>
      <c r="B20" t="s">
        <v>56</v>
      </c>
      <c r="C20" s="39" t="s">
        <v>258</v>
      </c>
      <c r="E20" t="s">
        <v>428</v>
      </c>
    </row>
    <row r="21" spans="1:5">
      <c r="A21" s="65" t="s">
        <v>388</v>
      </c>
      <c r="B21" t="s">
        <v>56</v>
      </c>
      <c r="C21" s="39" t="s">
        <v>258</v>
      </c>
      <c r="E21" t="s">
        <v>428</v>
      </c>
    </row>
    <row r="22" spans="1:5">
      <c r="A22" s="65" t="s">
        <v>389</v>
      </c>
      <c r="B22" t="s">
        <v>56</v>
      </c>
      <c r="C22" s="39" t="s">
        <v>258</v>
      </c>
      <c r="E22" t="s">
        <v>428</v>
      </c>
    </row>
    <row r="23" spans="1:5">
      <c r="A23" s="65" t="s">
        <v>390</v>
      </c>
      <c r="B23" t="s">
        <v>56</v>
      </c>
      <c r="C23" s="39" t="s">
        <v>258</v>
      </c>
      <c r="E23" t="s">
        <v>428</v>
      </c>
    </row>
    <row r="24" spans="1:5">
      <c r="A24" s="65" t="s">
        <v>391</v>
      </c>
      <c r="B24" t="s">
        <v>56</v>
      </c>
      <c r="C24" s="39" t="s">
        <v>258</v>
      </c>
      <c r="E24" t="s">
        <v>428</v>
      </c>
    </row>
    <row r="25" spans="1:5">
      <c r="A25" s="65" t="s">
        <v>392</v>
      </c>
      <c r="B25" t="s">
        <v>56</v>
      </c>
      <c r="C25" t="s">
        <v>376</v>
      </c>
      <c r="D25" t="s">
        <v>258</v>
      </c>
      <c r="E25" t="s">
        <v>428</v>
      </c>
    </row>
    <row r="26" spans="1:5">
      <c r="A26" s="65" t="s">
        <v>393</v>
      </c>
      <c r="B26" t="s">
        <v>56</v>
      </c>
      <c r="C26" t="s">
        <v>376</v>
      </c>
      <c r="D26" t="s">
        <v>258</v>
      </c>
      <c r="E26" t="s">
        <v>428</v>
      </c>
    </row>
    <row r="27" spans="1:5">
      <c r="A27" s="65" t="s">
        <v>394</v>
      </c>
      <c r="B27" t="s">
        <v>56</v>
      </c>
      <c r="C27" s="39" t="s">
        <v>218</v>
      </c>
      <c r="E27" t="s">
        <v>425</v>
      </c>
    </row>
    <row r="28" spans="1:5">
      <c r="A28" s="65" t="s">
        <v>395</v>
      </c>
      <c r="B28" t="s">
        <v>56</v>
      </c>
      <c r="C28" s="39" t="s">
        <v>218</v>
      </c>
      <c r="E28" t="s">
        <v>425</v>
      </c>
    </row>
    <row r="29" spans="1:5">
      <c r="A29" s="65" t="s">
        <v>396</v>
      </c>
      <c r="B29" t="s">
        <v>56</v>
      </c>
      <c r="C29" s="39" t="s">
        <v>218</v>
      </c>
      <c r="E29" t="s">
        <v>425</v>
      </c>
    </row>
    <row r="30" spans="1:5">
      <c r="A30" s="65" t="s">
        <v>397</v>
      </c>
      <c r="B30" t="s">
        <v>56</v>
      </c>
      <c r="C30" s="39" t="s">
        <v>218</v>
      </c>
      <c r="E30" t="s">
        <v>425</v>
      </c>
    </row>
    <row r="31" spans="1:5">
      <c r="A31" s="65" t="s">
        <v>398</v>
      </c>
      <c r="B31" t="s">
        <v>56</v>
      </c>
      <c r="C31" s="39" t="s">
        <v>218</v>
      </c>
      <c r="E31" t="s">
        <v>425</v>
      </c>
    </row>
    <row r="32" spans="1:5">
      <c r="A32" s="65" t="s">
        <v>399</v>
      </c>
      <c r="B32" t="s">
        <v>56</v>
      </c>
      <c r="C32" s="39" t="s">
        <v>218</v>
      </c>
      <c r="E32" t="s">
        <v>425</v>
      </c>
    </row>
    <row r="33" spans="1:5">
      <c r="A33" s="65" t="s">
        <v>400</v>
      </c>
      <c r="B33" t="s">
        <v>56</v>
      </c>
      <c r="C33" s="39" t="s">
        <v>218</v>
      </c>
      <c r="E33" t="s">
        <v>425</v>
      </c>
    </row>
    <row r="34" spans="1:5">
      <c r="A34" s="65" t="s">
        <v>401</v>
      </c>
      <c r="B34" t="s">
        <v>56</v>
      </c>
      <c r="C34" s="39" t="s">
        <v>218</v>
      </c>
      <c r="E34" t="s">
        <v>425</v>
      </c>
    </row>
    <row r="35" spans="1:5">
      <c r="A35" s="65" t="s">
        <v>402</v>
      </c>
      <c r="B35" t="s">
        <v>56</v>
      </c>
      <c r="C35" s="39" t="s">
        <v>218</v>
      </c>
      <c r="E35" t="s">
        <v>425</v>
      </c>
    </row>
    <row r="36" spans="1:5">
      <c r="A36" s="65" t="s">
        <v>59</v>
      </c>
      <c r="B36" t="s">
        <v>53</v>
      </c>
      <c r="C36" s="39" t="s">
        <v>218</v>
      </c>
      <c r="E36" t="s">
        <v>425</v>
      </c>
    </row>
    <row r="37" spans="1:5">
      <c r="A37" s="39" t="s">
        <v>60</v>
      </c>
      <c r="B37" t="s">
        <v>53</v>
      </c>
      <c r="C37" s="39" t="s">
        <v>218</v>
      </c>
      <c r="E37" t="s">
        <v>425</v>
      </c>
    </row>
    <row r="38" spans="1:5">
      <c r="A38" s="39" t="s">
        <v>61</v>
      </c>
      <c r="B38" t="s">
        <v>407</v>
      </c>
      <c r="C38" s="39" t="s">
        <v>218</v>
      </c>
      <c r="E38" t="s">
        <v>425</v>
      </c>
    </row>
    <row r="39" spans="1:5">
      <c r="A39" s="1" t="s">
        <v>78</v>
      </c>
      <c r="B39" t="s">
        <v>408</v>
      </c>
      <c r="C39" s="39" t="s">
        <v>218</v>
      </c>
      <c r="E39" t="s">
        <v>425</v>
      </c>
    </row>
    <row r="40" spans="1:5">
      <c r="A40" s="70" t="s">
        <v>403</v>
      </c>
      <c r="B40" t="s">
        <v>408</v>
      </c>
      <c r="C40" s="39" t="s">
        <v>218</v>
      </c>
      <c r="E40" t="s">
        <v>425</v>
      </c>
    </row>
    <row r="41" spans="1:5">
      <c r="A41" s="1" t="s">
        <v>404</v>
      </c>
      <c r="B41" t="s">
        <v>408</v>
      </c>
      <c r="C41" s="39" t="s">
        <v>218</v>
      </c>
      <c r="E41" t="s">
        <v>425</v>
      </c>
    </row>
    <row r="42" spans="1:5">
      <c r="A42" s="1" t="s">
        <v>79</v>
      </c>
      <c r="B42" t="s">
        <v>408</v>
      </c>
      <c r="C42" s="39" t="s">
        <v>218</v>
      </c>
      <c r="E42" t="s">
        <v>425</v>
      </c>
    </row>
    <row r="43" spans="1:5">
      <c r="A43" s="1" t="s">
        <v>81</v>
      </c>
      <c r="B43" t="s">
        <v>408</v>
      </c>
      <c r="C43" s="39" t="s">
        <v>218</v>
      </c>
      <c r="E43" t="s">
        <v>425</v>
      </c>
    </row>
    <row r="44" spans="1:5">
      <c r="A44" t="s">
        <v>83</v>
      </c>
      <c r="B44" t="s">
        <v>158</v>
      </c>
      <c r="C44" s="39" t="s">
        <v>218</v>
      </c>
      <c r="E44" t="s">
        <v>425</v>
      </c>
    </row>
    <row r="45" spans="1:5">
      <c r="A45" t="s">
        <v>85</v>
      </c>
      <c r="B45" t="s">
        <v>158</v>
      </c>
      <c r="C45" s="39" t="s">
        <v>218</v>
      </c>
      <c r="E45" t="s">
        <v>425</v>
      </c>
    </row>
    <row r="46" spans="1:5">
      <c r="A46" s="1" t="s">
        <v>87</v>
      </c>
      <c r="B46" t="s">
        <v>158</v>
      </c>
      <c r="C46" s="39" t="s">
        <v>218</v>
      </c>
      <c r="E46" t="s">
        <v>425</v>
      </c>
    </row>
    <row r="47" spans="1:5" ht="13.8" customHeight="1">
      <c r="A47" t="s">
        <v>155</v>
      </c>
      <c r="B47" t="s">
        <v>158</v>
      </c>
      <c r="C47" s="39" t="s">
        <v>218</v>
      </c>
      <c r="E47" t="s">
        <v>425</v>
      </c>
    </row>
    <row r="48" spans="1:5">
      <c r="A48" t="s">
        <v>156</v>
      </c>
      <c r="B48" t="s">
        <v>158</v>
      </c>
      <c r="C48" s="39" t="s">
        <v>218</v>
      </c>
      <c r="E48" t="s">
        <v>425</v>
      </c>
    </row>
    <row r="49" spans="1:6">
      <c r="A49" s="1" t="s">
        <v>89</v>
      </c>
      <c r="B49" t="s">
        <v>409</v>
      </c>
      <c r="C49" s="39" t="s">
        <v>218</v>
      </c>
      <c r="E49" t="s">
        <v>425</v>
      </c>
    </row>
    <row r="50" spans="1:6">
      <c r="A50" s="1" t="s">
        <v>91</v>
      </c>
      <c r="B50" t="s">
        <v>409</v>
      </c>
      <c r="C50" s="39" t="s">
        <v>218</v>
      </c>
      <c r="E50" t="s">
        <v>425</v>
      </c>
    </row>
    <row r="51" spans="1:6">
      <c r="A51" s="1" t="s">
        <v>95</v>
      </c>
      <c r="B51" t="s">
        <v>409</v>
      </c>
      <c r="C51" s="39" t="s">
        <v>218</v>
      </c>
      <c r="E51" t="s">
        <v>425</v>
      </c>
    </row>
    <row r="52" spans="1:6">
      <c r="A52" s="1" t="s">
        <v>96</v>
      </c>
      <c r="B52" t="s">
        <v>409</v>
      </c>
      <c r="C52" s="39" t="s">
        <v>218</v>
      </c>
      <c r="E52" t="s">
        <v>425</v>
      </c>
    </row>
    <row r="53" spans="1:6">
      <c r="A53" s="4" t="s">
        <v>124</v>
      </c>
      <c r="B53" t="s">
        <v>410</v>
      </c>
      <c r="C53" s="39" t="s">
        <v>282</v>
      </c>
      <c r="E53" t="s">
        <v>429</v>
      </c>
    </row>
    <row r="54" spans="1:6">
      <c r="A54" s="4" t="s">
        <v>125</v>
      </c>
      <c r="B54" t="s">
        <v>410</v>
      </c>
      <c r="C54" s="39" t="s">
        <v>282</v>
      </c>
      <c r="E54" t="s">
        <v>429</v>
      </c>
    </row>
    <row r="55" spans="1:6">
      <c r="A55" s="4" t="s">
        <v>126</v>
      </c>
      <c r="B55" t="s">
        <v>410</v>
      </c>
      <c r="C55" s="39" t="s">
        <v>282</v>
      </c>
      <c r="E55" t="s">
        <v>429</v>
      </c>
    </row>
    <row r="56" spans="1:6">
      <c r="A56" s="4" t="s">
        <v>128</v>
      </c>
      <c r="B56" t="s">
        <v>410</v>
      </c>
      <c r="C56" s="39" t="s">
        <v>282</v>
      </c>
      <c r="E56" t="s">
        <v>429</v>
      </c>
    </row>
    <row r="57" spans="1:6">
      <c r="A57" s="4" t="s">
        <v>129</v>
      </c>
      <c r="B57" t="s">
        <v>410</v>
      </c>
      <c r="C57" s="39" t="s">
        <v>282</v>
      </c>
      <c r="E57" t="s">
        <v>429</v>
      </c>
    </row>
    <row r="58" spans="1:6">
      <c r="A58" s="4" t="s">
        <v>131</v>
      </c>
      <c r="B58" t="s">
        <v>410</v>
      </c>
      <c r="C58" s="39" t="s">
        <v>218</v>
      </c>
      <c r="E58" t="s">
        <v>425</v>
      </c>
    </row>
    <row r="59" spans="1:6">
      <c r="A59" s="4" t="s">
        <v>132</v>
      </c>
      <c r="B59" t="s">
        <v>410</v>
      </c>
      <c r="C59" s="39" t="s">
        <v>282</v>
      </c>
      <c r="E59" s="73" t="s">
        <v>428</v>
      </c>
      <c r="F59" t="s">
        <v>428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5" workbookViewId="0">
      <selection activeCell="A6" sqref="A6"/>
    </sheetView>
  </sheetViews>
  <sheetFormatPr defaultRowHeight="14.4"/>
  <cols>
    <col min="1" max="1" width="21.77734375" style="39" customWidth="1"/>
    <col min="2" max="2" width="51.33203125" style="61" customWidth="1"/>
    <col min="3" max="3" width="16.88671875" bestFit="1" customWidth="1"/>
    <col min="4" max="4" width="11.77734375" style="9" bestFit="1" customWidth="1"/>
    <col min="5" max="5" width="48.77734375" style="10" customWidth="1"/>
    <col min="6" max="6" width="11.21875" bestFit="1" customWidth="1"/>
    <col min="9" max="9" width="35.5546875" style="32" customWidth="1"/>
    <col min="10" max="10" width="73.88671875" style="74" customWidth="1"/>
    <col min="11" max="11" width="80.44140625" style="74" customWidth="1"/>
  </cols>
  <sheetData>
    <row r="1" spans="1:11" s="44" customFormat="1" ht="21">
      <c r="A1" s="81" t="s">
        <v>0</v>
      </c>
      <c r="B1" s="81"/>
      <c r="C1" s="81"/>
      <c r="D1" s="81"/>
      <c r="E1" s="81"/>
      <c r="F1" s="81"/>
      <c r="I1" s="57"/>
      <c r="J1" s="75"/>
      <c r="K1" s="75"/>
    </row>
    <row r="2" spans="1:11" s="3" customFormat="1">
      <c r="A2" s="18" t="s">
        <v>1</v>
      </c>
      <c r="B2" s="60" t="s">
        <v>14</v>
      </c>
      <c r="C2" s="46" t="s">
        <v>2</v>
      </c>
      <c r="D2" s="47" t="s">
        <v>3</v>
      </c>
      <c r="E2" s="48" t="s">
        <v>33</v>
      </c>
      <c r="F2" s="3" t="s">
        <v>212</v>
      </c>
      <c r="G2" s="3" t="s">
        <v>213</v>
      </c>
      <c r="H2" s="3" t="s">
        <v>214</v>
      </c>
      <c r="I2" s="58" t="s">
        <v>215</v>
      </c>
      <c r="J2" s="76" t="s">
        <v>216</v>
      </c>
      <c r="K2" s="76" t="s">
        <v>217</v>
      </c>
    </row>
    <row r="3" spans="1:11" ht="175.8" customHeight="1">
      <c r="A3" s="39" t="s">
        <v>17</v>
      </c>
      <c r="B3" s="61" t="s">
        <v>4</v>
      </c>
      <c r="C3" s="49" t="s">
        <v>15</v>
      </c>
      <c r="D3" s="50" t="s">
        <v>31</v>
      </c>
      <c r="E3" s="51" t="s">
        <v>30</v>
      </c>
      <c r="F3" t="s">
        <v>218</v>
      </c>
      <c r="G3">
        <v>100</v>
      </c>
      <c r="H3" t="s">
        <v>219</v>
      </c>
      <c r="I3" s="32" t="s">
        <v>220</v>
      </c>
      <c r="J3" s="74" t="s">
        <v>221</v>
      </c>
      <c r="K3" s="27" t="s">
        <v>371</v>
      </c>
    </row>
    <row r="4" spans="1:11" ht="100.8">
      <c r="A4" s="39" t="s">
        <v>18</v>
      </c>
      <c r="B4" s="61" t="s">
        <v>5</v>
      </c>
      <c r="C4" s="49" t="s">
        <v>15</v>
      </c>
      <c r="D4" s="50" t="s">
        <v>36</v>
      </c>
      <c r="E4" s="52" t="s">
        <v>34</v>
      </c>
      <c r="F4" t="s">
        <v>218</v>
      </c>
      <c r="G4">
        <v>4</v>
      </c>
      <c r="H4" t="s">
        <v>222</v>
      </c>
      <c r="I4" s="32" t="s">
        <v>223</v>
      </c>
      <c r="J4" s="74" t="s">
        <v>224</v>
      </c>
      <c r="K4" s="74" t="s">
        <v>225</v>
      </c>
    </row>
    <row r="5" spans="1:11">
      <c r="A5" s="39" t="s">
        <v>19</v>
      </c>
      <c r="B5" s="61" t="s">
        <v>6</v>
      </c>
      <c r="C5" s="49" t="s">
        <v>15</v>
      </c>
      <c r="D5" s="50" t="s">
        <v>32</v>
      </c>
      <c r="E5" s="51" t="s">
        <v>30</v>
      </c>
      <c r="F5" t="s">
        <v>218</v>
      </c>
      <c r="G5">
        <v>2</v>
      </c>
      <c r="H5" t="s">
        <v>449</v>
      </c>
      <c r="I5" t="s">
        <v>447</v>
      </c>
      <c r="J5" t="s">
        <v>448</v>
      </c>
      <c r="K5" t="s">
        <v>226</v>
      </c>
    </row>
    <row r="6" spans="1:11" ht="192" customHeight="1">
      <c r="A6" s="39" t="s">
        <v>20</v>
      </c>
      <c r="B6" s="61" t="s">
        <v>7</v>
      </c>
      <c r="C6" s="49" t="s">
        <v>15</v>
      </c>
      <c r="D6" s="50" t="s">
        <v>36</v>
      </c>
      <c r="E6" s="51" t="s">
        <v>122</v>
      </c>
      <c r="F6" t="s">
        <v>218</v>
      </c>
      <c r="G6">
        <v>6</v>
      </c>
      <c r="H6" t="s">
        <v>227</v>
      </c>
      <c r="I6" s="27" t="s">
        <v>228</v>
      </c>
      <c r="J6" s="74" t="s">
        <v>229</v>
      </c>
      <c r="K6" s="74" t="s">
        <v>230</v>
      </c>
    </row>
    <row r="7" spans="1:11" ht="115.2">
      <c r="A7" s="39" t="s">
        <v>21</v>
      </c>
      <c r="B7" s="61" t="s">
        <v>8</v>
      </c>
      <c r="C7" s="49" t="s">
        <v>16</v>
      </c>
      <c r="D7" s="50" t="s">
        <v>32</v>
      </c>
      <c r="E7" s="52" t="s">
        <v>35</v>
      </c>
      <c r="F7" t="s">
        <v>218</v>
      </c>
      <c r="G7">
        <v>5570</v>
      </c>
      <c r="H7" t="s">
        <v>231</v>
      </c>
      <c r="I7" s="32" t="s">
        <v>232</v>
      </c>
      <c r="J7" s="74" t="s">
        <v>233</v>
      </c>
      <c r="K7" s="74" t="s">
        <v>234</v>
      </c>
    </row>
    <row r="8" spans="1:11" s="34" customFormat="1" ht="57.6">
      <c r="A8" s="64" t="s">
        <v>23</v>
      </c>
      <c r="B8" s="62" t="s">
        <v>10</v>
      </c>
      <c r="C8" s="53" t="s">
        <v>16</v>
      </c>
      <c r="D8" s="54" t="s">
        <v>39</v>
      </c>
      <c r="E8" s="55" t="s">
        <v>384</v>
      </c>
      <c r="F8" t="s">
        <v>218</v>
      </c>
      <c r="G8">
        <v>3009</v>
      </c>
      <c r="H8" t="s">
        <v>231</v>
      </c>
      <c r="I8" s="32" t="s">
        <v>235</v>
      </c>
      <c r="J8" s="74" t="s">
        <v>236</v>
      </c>
      <c r="K8" s="74" t="s">
        <v>226</v>
      </c>
    </row>
    <row r="9" spans="1:11" ht="72">
      <c r="A9" s="39" t="s">
        <v>24</v>
      </c>
      <c r="B9" s="61" t="s">
        <v>11</v>
      </c>
      <c r="C9" s="49" t="s">
        <v>15</v>
      </c>
      <c r="D9" s="50" t="s">
        <v>36</v>
      </c>
      <c r="E9" s="51" t="s">
        <v>40</v>
      </c>
      <c r="F9" t="s">
        <v>218</v>
      </c>
      <c r="G9">
        <v>137</v>
      </c>
      <c r="H9" t="s">
        <v>237</v>
      </c>
      <c r="I9" s="32" t="s">
        <v>238</v>
      </c>
      <c r="J9" s="74" t="s">
        <v>239</v>
      </c>
      <c r="K9" s="74" t="s">
        <v>240</v>
      </c>
    </row>
    <row r="10" spans="1:11" ht="144">
      <c r="A10" s="39" t="s">
        <v>25</v>
      </c>
      <c r="B10" s="61" t="s">
        <v>13</v>
      </c>
      <c r="C10" s="49" t="s">
        <v>15</v>
      </c>
      <c r="D10" s="50" t="s">
        <v>37</v>
      </c>
      <c r="E10" s="51" t="s">
        <v>41</v>
      </c>
      <c r="F10" t="s">
        <v>241</v>
      </c>
      <c r="G10">
        <v>201</v>
      </c>
      <c r="H10" t="s">
        <v>242</v>
      </c>
      <c r="I10" s="32" t="s">
        <v>243</v>
      </c>
      <c r="J10" s="74" t="s">
        <v>244</v>
      </c>
      <c r="K10" s="74" t="s">
        <v>245</v>
      </c>
    </row>
    <row r="11" spans="1:11" ht="72">
      <c r="A11" s="39" t="s">
        <v>26</v>
      </c>
      <c r="B11" s="61" t="s">
        <v>27</v>
      </c>
      <c r="C11" s="49" t="s">
        <v>15</v>
      </c>
      <c r="D11" s="50" t="s">
        <v>38</v>
      </c>
      <c r="E11" s="51" t="s">
        <v>42</v>
      </c>
      <c r="F11" t="s">
        <v>218</v>
      </c>
      <c r="G11">
        <v>5</v>
      </c>
      <c r="H11" t="s">
        <v>246</v>
      </c>
      <c r="I11" s="32" t="s">
        <v>247</v>
      </c>
      <c r="J11" s="74" t="s">
        <v>248</v>
      </c>
      <c r="K11" s="74" t="s">
        <v>249</v>
      </c>
    </row>
    <row r="12" spans="1:11" ht="86.4">
      <c r="A12" s="39" t="s">
        <v>29</v>
      </c>
      <c r="B12" s="61" t="s">
        <v>28</v>
      </c>
      <c r="C12" s="49" t="s">
        <v>15</v>
      </c>
      <c r="D12" s="50" t="s">
        <v>38</v>
      </c>
      <c r="E12" s="51" t="s">
        <v>43</v>
      </c>
      <c r="F12" t="s">
        <v>218</v>
      </c>
      <c r="G12">
        <v>5</v>
      </c>
      <c r="H12" t="s">
        <v>250</v>
      </c>
      <c r="I12" s="32" t="s">
        <v>251</v>
      </c>
      <c r="J12" s="74" t="s">
        <v>252</v>
      </c>
      <c r="K12" s="74" t="s">
        <v>253</v>
      </c>
    </row>
    <row r="13" spans="1:11">
      <c r="C13" s="49"/>
      <c r="D13" s="50"/>
      <c r="E13" s="51"/>
    </row>
    <row r="14" spans="1:11" s="34" customFormat="1" ht="129.6">
      <c r="A14" s="64" t="s">
        <v>22</v>
      </c>
      <c r="B14" s="62" t="s">
        <v>9</v>
      </c>
      <c r="C14" s="53" t="s">
        <v>16</v>
      </c>
      <c r="D14" s="54" t="s">
        <v>39</v>
      </c>
      <c r="E14" s="55"/>
      <c r="F14" t="s">
        <v>218</v>
      </c>
      <c r="G14">
        <v>2134</v>
      </c>
      <c r="H14" t="s">
        <v>254</v>
      </c>
      <c r="I14" s="32" t="s">
        <v>255</v>
      </c>
      <c r="J14" s="74" t="s">
        <v>256</v>
      </c>
      <c r="K14" s="74" t="s">
        <v>257</v>
      </c>
    </row>
    <row r="15" spans="1:11" s="36" customFormat="1">
      <c r="A15" s="65"/>
      <c r="B15" s="63"/>
      <c r="D15" s="37"/>
      <c r="E15" s="38"/>
      <c r="I15" s="59"/>
      <c r="J15" s="77"/>
      <c r="K15" s="77"/>
    </row>
    <row r="17" spans="1:11" s="3" customFormat="1">
      <c r="A17" s="18" t="s">
        <v>183</v>
      </c>
      <c r="B17" s="60" t="s">
        <v>184</v>
      </c>
      <c r="C17" s="8" t="s">
        <v>185</v>
      </c>
      <c r="D17" s="11" t="s">
        <v>186</v>
      </c>
      <c r="I17" s="58"/>
      <c r="J17" s="76"/>
      <c r="K17" s="76"/>
    </row>
    <row r="18" spans="1:11" ht="28.8">
      <c r="A18" s="39" t="s">
        <v>187</v>
      </c>
      <c r="B18" s="61" t="s">
        <v>188</v>
      </c>
      <c r="C18" s="9" t="s">
        <v>189</v>
      </c>
      <c r="D18" s="10" t="s">
        <v>190</v>
      </c>
      <c r="E18"/>
    </row>
    <row r="20" spans="1:11">
      <c r="D20"/>
      <c r="E20"/>
    </row>
    <row r="21" spans="1:11">
      <c r="D21"/>
      <c r="E21"/>
    </row>
    <row r="22" spans="1:11">
      <c r="D22"/>
      <c r="E22"/>
    </row>
    <row r="23" spans="1:11">
      <c r="D23"/>
      <c r="E23"/>
    </row>
    <row r="24" spans="1:11">
      <c r="D24"/>
      <c r="E24"/>
    </row>
    <row r="25" spans="1:11">
      <c r="D25"/>
      <c r="E25"/>
    </row>
    <row r="26" spans="1:11">
      <c r="D26"/>
      <c r="E26"/>
    </row>
    <row r="27" spans="1:11">
      <c r="D27"/>
      <c r="E27"/>
    </row>
    <row r="28" spans="1:11">
      <c r="D28"/>
      <c r="E28"/>
    </row>
    <row r="29" spans="1:11">
      <c r="D29"/>
      <c r="E29"/>
    </row>
    <row r="30" spans="1:11">
      <c r="D30"/>
      <c r="E30"/>
    </row>
    <row r="31" spans="1:11">
      <c r="D31"/>
      <c r="E31"/>
    </row>
  </sheetData>
  <mergeCells count="1">
    <mergeCell ref="A1:F1"/>
  </mergeCells>
  <conditionalFormatting sqref="D1:D16 D19:D1048576 C17:C18">
    <cfRule type="cellIs" dxfId="33" priority="1" operator="equal">
      <formula>"exploratory"</formula>
    </cfRule>
    <cfRule type="cellIs" dxfId="32" priority="2" operator="equal">
      <formula>"supporting"</formula>
    </cfRule>
    <cfRule type="cellIs" dxfId="31" priority="3" operator="equal">
      <formula>"conditional"</formula>
    </cfRule>
    <cfRule type="cellIs" dxfId="30" priority="4" operator="equal">
      <formula>"core"</formula>
    </cfRule>
  </conditionalFormatting>
  <dataValidations count="1">
    <dataValidation type="list" allowBlank="1" showInputMessage="1" showErrorMessage="1" sqref="D1:D16 D19:D1048576 C17:C18">
      <formula1>"Core, Supporting, Conditional, Exploratory, Exclude"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pane xSplit="1" topLeftCell="B1" activePane="topRight" state="frozen"/>
      <selection pane="topRight" sqref="A1:F1"/>
    </sheetView>
  </sheetViews>
  <sheetFormatPr defaultRowHeight="14.4"/>
  <cols>
    <col min="1" max="1" width="60.21875" customWidth="1"/>
    <col min="2" max="2" width="30.77734375" style="1" bestFit="1" customWidth="1"/>
    <col min="3" max="3" width="18.6640625" style="1" bestFit="1" customWidth="1"/>
    <col min="4" max="4" width="14.44140625" style="1" customWidth="1"/>
    <col min="5" max="5" width="51.88671875" customWidth="1"/>
    <col min="6" max="6" width="11.21875" customWidth="1"/>
    <col min="7" max="7" width="14.33203125" customWidth="1"/>
    <col min="8" max="8" width="21.77734375" customWidth="1"/>
    <col min="9" max="9" width="37.5546875" style="1" customWidth="1"/>
    <col min="10" max="10" width="54" style="39" customWidth="1"/>
    <col min="11" max="11" width="101.88671875" bestFit="1" customWidth="1"/>
  </cols>
  <sheetData>
    <row r="1" spans="1:12" ht="20.399999999999999">
      <c r="A1" s="81" t="s">
        <v>44</v>
      </c>
      <c r="B1" s="81"/>
      <c r="C1" s="81"/>
      <c r="D1" s="81"/>
      <c r="E1" s="81"/>
      <c r="F1" s="81"/>
    </row>
    <row r="2" spans="1:12" s="3" customFormat="1">
      <c r="A2" s="6" t="s">
        <v>1</v>
      </c>
      <c r="B2" s="12" t="s">
        <v>14</v>
      </c>
      <c r="C2" s="12" t="s">
        <v>2</v>
      </c>
      <c r="D2" s="17" t="s">
        <v>3</v>
      </c>
      <c r="E2" s="5" t="s">
        <v>33</v>
      </c>
      <c r="F2" s="30" t="s">
        <v>212</v>
      </c>
      <c r="G2" s="30" t="s">
        <v>213</v>
      </c>
      <c r="H2" s="30" t="s">
        <v>214</v>
      </c>
      <c r="I2" s="30" t="s">
        <v>215</v>
      </c>
      <c r="J2" s="30" t="s">
        <v>216</v>
      </c>
      <c r="K2" s="12" t="s">
        <v>217</v>
      </c>
    </row>
    <row r="3" spans="1:12" ht="91.2" customHeight="1">
      <c r="A3" s="2" t="s">
        <v>57</v>
      </c>
      <c r="B3" s="1" t="s">
        <v>51</v>
      </c>
      <c r="C3" s="1" t="s">
        <v>56</v>
      </c>
      <c r="D3" s="1" t="s">
        <v>31</v>
      </c>
      <c r="E3" s="15" t="s">
        <v>110</v>
      </c>
      <c r="F3" s="15" t="s">
        <v>258</v>
      </c>
      <c r="G3" s="15">
        <v>7746</v>
      </c>
      <c r="H3" s="15" t="s">
        <v>259</v>
      </c>
      <c r="I3" s="15" t="s">
        <v>260</v>
      </c>
      <c r="J3" s="15" t="s">
        <v>261</v>
      </c>
      <c r="K3" s="1" t="s">
        <v>262</v>
      </c>
    </row>
    <row r="4" spans="1:12" ht="100.8">
      <c r="A4" s="2" t="s">
        <v>58</v>
      </c>
      <c r="B4" s="1" t="s">
        <v>52</v>
      </c>
      <c r="C4" s="1" t="s">
        <v>56</v>
      </c>
      <c r="D4" s="1" t="s">
        <v>31</v>
      </c>
      <c r="E4" s="10" t="s">
        <v>111</v>
      </c>
      <c r="F4" s="15" t="s">
        <v>218</v>
      </c>
      <c r="G4" s="15">
        <v>1</v>
      </c>
      <c r="H4" s="15" t="s">
        <v>263</v>
      </c>
      <c r="I4" s="15" t="s">
        <v>264</v>
      </c>
      <c r="J4" s="15" t="s">
        <v>265</v>
      </c>
      <c r="K4" s="1" t="s">
        <v>266</v>
      </c>
    </row>
    <row r="5" spans="1:12" ht="114.6" customHeight="1">
      <c r="A5" s="2" t="s">
        <v>113</v>
      </c>
      <c r="B5" s="1" t="s">
        <v>65</v>
      </c>
      <c r="C5" s="1" t="s">
        <v>56</v>
      </c>
      <c r="D5" s="1" t="s">
        <v>37</v>
      </c>
      <c r="E5" s="4" t="s">
        <v>112</v>
      </c>
      <c r="F5" s="32" t="s">
        <v>258</v>
      </c>
      <c r="G5" s="45" t="s">
        <v>372</v>
      </c>
      <c r="H5" s="39" t="s">
        <v>259</v>
      </c>
      <c r="I5" s="15" t="s">
        <v>373</v>
      </c>
      <c r="J5" s="15" t="s">
        <v>374</v>
      </c>
      <c r="K5" s="45" t="s">
        <v>375</v>
      </c>
    </row>
    <row r="6" spans="1:12" ht="190.2" customHeight="1">
      <c r="A6" s="2" t="s">
        <v>114</v>
      </c>
      <c r="B6" s="1" t="s">
        <v>65</v>
      </c>
      <c r="C6" s="1" t="s">
        <v>56</v>
      </c>
      <c r="D6" s="1" t="s">
        <v>37</v>
      </c>
      <c r="E6" s="4" t="s">
        <v>115</v>
      </c>
      <c r="F6" s="15" t="s">
        <v>376</v>
      </c>
      <c r="G6">
        <v>0</v>
      </c>
      <c r="H6" s="15" t="s">
        <v>377</v>
      </c>
      <c r="I6" s="15" t="s">
        <v>378</v>
      </c>
      <c r="J6" s="15" t="s">
        <v>379</v>
      </c>
      <c r="K6" t="s">
        <v>380</v>
      </c>
    </row>
    <row r="7" spans="1:12" ht="86.4">
      <c r="A7" s="2" t="s">
        <v>267</v>
      </c>
      <c r="B7" s="1" t="s">
        <v>66</v>
      </c>
      <c r="C7" s="1" t="s">
        <v>56</v>
      </c>
      <c r="D7" s="1" t="s">
        <v>36</v>
      </c>
      <c r="E7" s="4" t="s">
        <v>116</v>
      </c>
      <c r="F7" s="15" t="s">
        <v>218</v>
      </c>
      <c r="G7" s="15">
        <v>3</v>
      </c>
      <c r="H7" s="15" t="s">
        <v>268</v>
      </c>
      <c r="I7" s="15" t="s">
        <v>269</v>
      </c>
      <c r="J7" s="15" t="s">
        <v>270</v>
      </c>
      <c r="K7" s="1" t="s">
        <v>271</v>
      </c>
      <c r="L7" s="1"/>
    </row>
    <row r="8" spans="1:12" ht="100.8">
      <c r="A8" s="2" t="s">
        <v>59</v>
      </c>
      <c r="B8" s="1" t="s">
        <v>45</v>
      </c>
      <c r="C8" s="1" t="s">
        <v>53</v>
      </c>
      <c r="D8" s="1" t="s">
        <v>31</v>
      </c>
      <c r="E8" s="4" t="s">
        <v>117</v>
      </c>
      <c r="F8" s="15" t="s">
        <v>218</v>
      </c>
      <c r="G8" s="15">
        <v>1648</v>
      </c>
      <c r="H8" s="15" t="s">
        <v>272</v>
      </c>
      <c r="I8" s="15" t="s">
        <v>273</v>
      </c>
      <c r="J8" s="15" t="s">
        <v>274</v>
      </c>
      <c r="K8" s="1" t="s">
        <v>275</v>
      </c>
      <c r="L8" s="1"/>
    </row>
    <row r="9" spans="1:12" ht="72">
      <c r="A9" s="2" t="s">
        <v>60</v>
      </c>
      <c r="B9" s="1" t="s">
        <v>46</v>
      </c>
      <c r="C9" s="1" t="s">
        <v>53</v>
      </c>
      <c r="D9" s="1" t="s">
        <v>31</v>
      </c>
      <c r="E9" s="4" t="s">
        <v>118</v>
      </c>
      <c r="F9" s="15" t="s">
        <v>218</v>
      </c>
      <c r="G9" s="15">
        <v>1597</v>
      </c>
      <c r="H9" s="15" t="s">
        <v>272</v>
      </c>
      <c r="I9" s="15" t="s">
        <v>276</v>
      </c>
      <c r="J9" s="15" t="s">
        <v>277</v>
      </c>
      <c r="K9" s="1" t="s">
        <v>278</v>
      </c>
      <c r="L9" s="1"/>
    </row>
    <row r="10" spans="1:12" ht="57.6">
      <c r="A10" s="2" t="s">
        <v>61</v>
      </c>
      <c r="B10" s="1" t="s">
        <v>47</v>
      </c>
      <c r="C10" s="1" t="s">
        <v>54</v>
      </c>
      <c r="D10" s="1" t="s">
        <v>31</v>
      </c>
      <c r="E10" s="10" t="s">
        <v>119</v>
      </c>
      <c r="F10" s="15" t="s">
        <v>218</v>
      </c>
      <c r="G10" s="15">
        <v>2</v>
      </c>
      <c r="H10" s="15" t="s">
        <v>279</v>
      </c>
      <c r="I10" s="15" t="s">
        <v>280</v>
      </c>
      <c r="J10" s="15" t="s">
        <v>281</v>
      </c>
      <c r="K10" s="1" t="s">
        <v>226</v>
      </c>
      <c r="L10" s="1"/>
    </row>
    <row r="11" spans="1:12" s="13" customFormat="1" ht="57.6">
      <c r="A11" s="14" t="s">
        <v>62</v>
      </c>
      <c r="B11" s="16" t="s">
        <v>48</v>
      </c>
      <c r="C11" s="16" t="s">
        <v>55</v>
      </c>
      <c r="D11" s="16" t="s">
        <v>39</v>
      </c>
      <c r="F11" s="15" t="s">
        <v>282</v>
      </c>
      <c r="G11" s="15">
        <v>0</v>
      </c>
      <c r="H11" s="15" t="s">
        <v>283</v>
      </c>
      <c r="I11" s="15" t="s">
        <v>284</v>
      </c>
      <c r="J11" s="15" t="s">
        <v>285</v>
      </c>
      <c r="K11" s="1" t="s">
        <v>286</v>
      </c>
      <c r="L11" s="1"/>
    </row>
    <row r="12" spans="1:12" ht="86.4">
      <c r="A12" s="2" t="s">
        <v>63</v>
      </c>
      <c r="B12" s="1" t="s">
        <v>49</v>
      </c>
      <c r="C12" s="1" t="s">
        <v>56</v>
      </c>
      <c r="D12" s="1" t="s">
        <v>38</v>
      </c>
      <c r="E12" s="10" t="s">
        <v>120</v>
      </c>
      <c r="F12" s="15" t="s">
        <v>218</v>
      </c>
      <c r="G12" s="15">
        <v>1</v>
      </c>
      <c r="H12" s="15" t="s">
        <v>263</v>
      </c>
      <c r="I12" s="15" t="s">
        <v>287</v>
      </c>
      <c r="J12" s="15" t="s">
        <v>288</v>
      </c>
      <c r="K12" s="1" t="s">
        <v>289</v>
      </c>
      <c r="L12" s="1"/>
    </row>
    <row r="13" spans="1:12" ht="72">
      <c r="A13" s="2" t="s">
        <v>64</v>
      </c>
      <c r="B13" s="1" t="s">
        <v>50</v>
      </c>
      <c r="C13" s="1" t="s">
        <v>56</v>
      </c>
      <c r="D13" s="1" t="s">
        <v>38</v>
      </c>
      <c r="E13" s="10" t="s">
        <v>121</v>
      </c>
      <c r="F13" s="15" t="s">
        <v>218</v>
      </c>
      <c r="G13" s="15">
        <v>1</v>
      </c>
      <c r="H13" s="15" t="s">
        <v>263</v>
      </c>
      <c r="I13" s="15" t="s">
        <v>290</v>
      </c>
      <c r="J13" s="15" t="s">
        <v>291</v>
      </c>
      <c r="K13" s="1" t="s">
        <v>289</v>
      </c>
      <c r="L13" s="1"/>
    </row>
    <row r="16" spans="1:12">
      <c r="A16" s="3" t="s">
        <v>183</v>
      </c>
      <c r="B16" s="3" t="s">
        <v>184</v>
      </c>
      <c r="C16" s="8" t="s">
        <v>185</v>
      </c>
      <c r="D16" s="11" t="s">
        <v>186</v>
      </c>
      <c r="E16" s="3"/>
    </row>
    <row r="17" spans="1:4">
      <c r="A17" t="s">
        <v>191</v>
      </c>
      <c r="B17" t="s">
        <v>192</v>
      </c>
      <c r="C17" t="s">
        <v>76</v>
      </c>
      <c r="D17" t="s">
        <v>193</v>
      </c>
    </row>
  </sheetData>
  <mergeCells count="1">
    <mergeCell ref="A1:F1"/>
  </mergeCells>
  <conditionalFormatting sqref="D3:D13">
    <cfRule type="cellIs" dxfId="29" priority="5" operator="equal">
      <formula>"conditional"</formula>
    </cfRule>
    <cfRule type="cellIs" dxfId="28" priority="6" operator="equal">
      <formula>"Exploratory"</formula>
    </cfRule>
    <cfRule type="cellIs" dxfId="27" priority="7" operator="equal">
      <formula>"Supporting"</formula>
    </cfRule>
    <cfRule type="cellIs" dxfId="26" priority="8" operator="equal">
      <formula>"core"</formula>
    </cfRule>
  </conditionalFormatting>
  <conditionalFormatting sqref="C16">
    <cfRule type="cellIs" dxfId="25" priority="1" operator="equal">
      <formula>"exploratory"</formula>
    </cfRule>
    <cfRule type="cellIs" dxfId="24" priority="2" operator="equal">
      <formula>"supporting"</formula>
    </cfRule>
    <cfRule type="cellIs" dxfId="23" priority="3" operator="equal">
      <formula>"conditional"</formula>
    </cfRule>
    <cfRule type="cellIs" dxfId="22" priority="4" operator="equal">
      <formula>"core"</formula>
    </cfRule>
  </conditionalFormatting>
  <dataValidations count="2">
    <dataValidation type="list" allowBlank="1" showInputMessage="1" showErrorMessage="1" sqref="D1:D15 C16 D18:D1048576">
      <formula1>"Core, Supporting, Conditional, Exploratory, Exclude"</formula1>
    </dataValidation>
    <dataValidation type="list" allowBlank="1" showInputMessage="1" showErrorMessage="1" sqref="C1 C14:C15 C18:C1048576">
      <formula1>$G$8:$G$12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2"/>
  <sheetViews>
    <sheetView workbookViewId="0">
      <pane xSplit="1" topLeftCell="B1" activePane="topRight" state="frozen"/>
      <selection pane="topRight" activeCell="A7" sqref="A7:XFD7"/>
    </sheetView>
  </sheetViews>
  <sheetFormatPr defaultRowHeight="14.4"/>
  <cols>
    <col min="1" max="1" width="35.5546875" style="1" bestFit="1" customWidth="1"/>
    <col min="2" max="2" width="54.5546875" style="1" customWidth="1"/>
    <col min="3" max="3" width="25.109375" style="1" customWidth="1"/>
    <col min="4" max="4" width="14.88671875" style="22" customWidth="1"/>
    <col min="5" max="5" width="49.33203125" style="1" customWidth="1"/>
    <col min="6" max="6" width="15.44140625" style="1" customWidth="1"/>
    <col min="7" max="7" width="12.5546875" style="1" customWidth="1"/>
    <col min="8" max="8" width="15.88671875" style="1" customWidth="1"/>
    <col min="9" max="9" width="43.6640625" style="1" customWidth="1"/>
    <col min="10" max="10" width="55.44140625" style="1" customWidth="1"/>
    <col min="11" max="11" width="19" style="1" customWidth="1"/>
    <col min="12" max="16384" width="8.88671875" style="1"/>
  </cols>
  <sheetData>
    <row r="1" spans="1:11" ht="20.399999999999999">
      <c r="A1" s="81" t="s">
        <v>67</v>
      </c>
      <c r="B1" s="81"/>
      <c r="C1" s="81"/>
      <c r="D1" s="81"/>
      <c r="E1" s="81"/>
      <c r="F1" s="81"/>
    </row>
    <row r="2" spans="1:11" s="12" customFormat="1" ht="28.8">
      <c r="A2" s="18" t="s">
        <v>1</v>
      </c>
      <c r="B2" s="12" t="s">
        <v>14</v>
      </c>
      <c r="C2" s="12" t="s">
        <v>2</v>
      </c>
      <c r="D2" s="17" t="s">
        <v>3</v>
      </c>
      <c r="E2" s="11" t="s">
        <v>33</v>
      </c>
      <c r="F2" s="56" t="s">
        <v>212</v>
      </c>
      <c r="G2" s="56" t="s">
        <v>213</v>
      </c>
      <c r="H2" s="56" t="s">
        <v>214</v>
      </c>
      <c r="I2" s="56" t="s">
        <v>215</v>
      </c>
      <c r="J2" s="56" t="s">
        <v>216</v>
      </c>
      <c r="K2" s="56" t="s">
        <v>217</v>
      </c>
    </row>
    <row r="3" spans="1:11" s="12" customFormat="1" ht="18">
      <c r="A3" s="24" t="s">
        <v>147</v>
      </c>
      <c r="D3" s="17"/>
      <c r="E3" s="11"/>
    </row>
    <row r="4" spans="1:11">
      <c r="A4" s="1" t="s">
        <v>69</v>
      </c>
      <c r="B4" s="1" t="s">
        <v>4</v>
      </c>
      <c r="C4" s="1" t="s">
        <v>98</v>
      </c>
      <c r="D4" s="19" t="s">
        <v>31</v>
      </c>
      <c r="E4" s="10" t="s">
        <v>30</v>
      </c>
    </row>
    <row r="5" spans="1:11">
      <c r="A5" s="1" t="s">
        <v>18</v>
      </c>
      <c r="B5" s="1" t="s">
        <v>5</v>
      </c>
      <c r="C5" s="1" t="s">
        <v>98</v>
      </c>
      <c r="D5" s="19" t="s">
        <v>36</v>
      </c>
      <c r="E5" s="1" t="s">
        <v>34</v>
      </c>
    </row>
    <row r="6" spans="1:11">
      <c r="A6" s="1" t="s">
        <v>19</v>
      </c>
      <c r="B6" s="1" t="s">
        <v>6</v>
      </c>
      <c r="C6" s="1" t="s">
        <v>98</v>
      </c>
      <c r="D6" s="19" t="s">
        <v>31</v>
      </c>
      <c r="E6" s="10" t="s">
        <v>30</v>
      </c>
    </row>
    <row r="7" spans="1:11">
      <c r="A7" s="1" t="s">
        <v>70</v>
      </c>
      <c r="B7" s="1" t="s">
        <v>7</v>
      </c>
      <c r="C7" s="1" t="s">
        <v>98</v>
      </c>
      <c r="D7" s="19" t="s">
        <v>36</v>
      </c>
      <c r="E7" s="10" t="s">
        <v>122</v>
      </c>
    </row>
    <row r="8" spans="1:11">
      <c r="A8" s="1" t="s">
        <v>71</v>
      </c>
      <c r="B8" s="1" t="s">
        <v>72</v>
      </c>
      <c r="C8" s="1" t="s">
        <v>99</v>
      </c>
      <c r="D8" s="19" t="s">
        <v>31</v>
      </c>
      <c r="E8" s="1" t="s">
        <v>35</v>
      </c>
    </row>
    <row r="9" spans="1:11" ht="28.8">
      <c r="A9" s="35" t="s">
        <v>23</v>
      </c>
      <c r="B9" s="36" t="s">
        <v>10</v>
      </c>
      <c r="C9" s="36" t="s">
        <v>16</v>
      </c>
      <c r="D9" s="37" t="s">
        <v>31</v>
      </c>
      <c r="E9" s="4" t="s">
        <v>209</v>
      </c>
    </row>
    <row r="10" spans="1:11" s="16" customFormat="1">
      <c r="A10" s="16" t="s">
        <v>68</v>
      </c>
      <c r="C10" s="16" t="s">
        <v>99</v>
      </c>
      <c r="D10" s="20" t="s">
        <v>39</v>
      </c>
    </row>
    <row r="11" spans="1:11">
      <c r="A11" s="1" t="s">
        <v>73</v>
      </c>
      <c r="B11" s="1" t="s">
        <v>11</v>
      </c>
      <c r="C11" s="1" t="s">
        <v>98</v>
      </c>
      <c r="D11" s="19" t="s">
        <v>38</v>
      </c>
      <c r="E11" s="10" t="s">
        <v>40</v>
      </c>
    </row>
    <row r="12" spans="1:11" s="16" customFormat="1">
      <c r="A12" s="16" t="s">
        <v>74</v>
      </c>
      <c r="B12" s="16" t="s">
        <v>12</v>
      </c>
      <c r="C12" s="16" t="s">
        <v>98</v>
      </c>
      <c r="D12" s="20" t="s">
        <v>39</v>
      </c>
    </row>
    <row r="13" spans="1:11" ht="28.8">
      <c r="A13" s="1" t="s">
        <v>75</v>
      </c>
      <c r="B13" s="1" t="s">
        <v>13</v>
      </c>
      <c r="C13" s="1" t="s">
        <v>98</v>
      </c>
      <c r="D13" s="19" t="s">
        <v>38</v>
      </c>
      <c r="E13" s="10" t="s">
        <v>41</v>
      </c>
    </row>
    <row r="14" spans="1:11" ht="18">
      <c r="A14" s="24" t="s">
        <v>148</v>
      </c>
      <c r="D14" s="19"/>
    </row>
    <row r="15" spans="1:11" ht="28.8">
      <c r="A15" s="1" t="s">
        <v>76</v>
      </c>
      <c r="B15" s="1" t="s">
        <v>105</v>
      </c>
      <c r="C15" s="1" t="s">
        <v>56</v>
      </c>
      <c r="D15" s="19" t="s">
        <v>31</v>
      </c>
      <c r="E15" s="15" t="s">
        <v>110</v>
      </c>
    </row>
    <row r="16" spans="1:11" ht="43.2">
      <c r="A16" s="1" t="s">
        <v>77</v>
      </c>
      <c r="B16" s="1" t="s">
        <v>104</v>
      </c>
      <c r="C16" s="1" t="s">
        <v>56</v>
      </c>
      <c r="D16" s="19" t="s">
        <v>36</v>
      </c>
      <c r="E16" s="10" t="s">
        <v>111</v>
      </c>
    </row>
    <row r="17" spans="1:11" ht="18">
      <c r="A17" s="25" t="s">
        <v>149</v>
      </c>
      <c r="D17" s="19"/>
    </row>
    <row r="18" spans="1:11" ht="129.6">
      <c r="A18" s="1" t="s">
        <v>292</v>
      </c>
      <c r="B18" s="1" t="s">
        <v>293</v>
      </c>
      <c r="C18" s="1" t="s">
        <v>106</v>
      </c>
      <c r="D18" s="19" t="s">
        <v>31</v>
      </c>
      <c r="E18" t="s">
        <v>145</v>
      </c>
      <c r="F18" s="15" t="s">
        <v>218</v>
      </c>
      <c r="G18" s="15">
        <v>179</v>
      </c>
      <c r="H18" s="15" t="s">
        <v>294</v>
      </c>
      <c r="I18" s="15" t="s">
        <v>295</v>
      </c>
      <c r="J18" s="15" t="s">
        <v>296</v>
      </c>
      <c r="K18" s="15" t="s">
        <v>297</v>
      </c>
    </row>
    <row r="19" spans="1:11" ht="86.4">
      <c r="A19" s="1" t="s">
        <v>79</v>
      </c>
      <c r="B19" s="1" t="s">
        <v>80</v>
      </c>
      <c r="C19" s="1" t="s">
        <v>100</v>
      </c>
      <c r="D19" s="19" t="s">
        <v>36</v>
      </c>
      <c r="E19" t="s">
        <v>146</v>
      </c>
      <c r="F19" s="15" t="s">
        <v>298</v>
      </c>
      <c r="G19" s="15" t="s">
        <v>299</v>
      </c>
      <c r="H19" s="15" t="s">
        <v>300</v>
      </c>
      <c r="I19" s="15" t="s">
        <v>301</v>
      </c>
      <c r="J19" s="15" t="s">
        <v>302</v>
      </c>
      <c r="K19" s="15" t="s">
        <v>303</v>
      </c>
    </row>
    <row r="20" spans="1:11" ht="86.4">
      <c r="A20" s="1" t="s">
        <v>81</v>
      </c>
      <c r="B20" s="1" t="s">
        <v>82</v>
      </c>
      <c r="C20" s="1" t="s">
        <v>100</v>
      </c>
      <c r="D20" s="19" t="s">
        <v>36</v>
      </c>
      <c r="E20" t="s">
        <v>146</v>
      </c>
      <c r="F20" s="15" t="s">
        <v>298</v>
      </c>
      <c r="G20" s="15" t="s">
        <v>299</v>
      </c>
      <c r="H20" s="15" t="s">
        <v>300</v>
      </c>
      <c r="I20" s="15" t="s">
        <v>301</v>
      </c>
      <c r="J20" s="15" t="s">
        <v>302</v>
      </c>
      <c r="K20" s="15" t="s">
        <v>303</v>
      </c>
    </row>
    <row r="21" spans="1:11">
      <c r="D21" s="19"/>
    </row>
    <row r="22" spans="1:11" ht="36">
      <c r="A22" s="26" t="s">
        <v>151</v>
      </c>
      <c r="D22" s="19"/>
    </row>
    <row r="23" spans="1:11" ht="64.8" customHeight="1">
      <c r="A23" s="1" t="s">
        <v>83</v>
      </c>
      <c r="B23" s="1" t="s">
        <v>84</v>
      </c>
      <c r="C23" s="1" t="s">
        <v>101</v>
      </c>
      <c r="D23" s="19" t="s">
        <v>31</v>
      </c>
      <c r="E23" s="21" t="s">
        <v>160</v>
      </c>
      <c r="F23" s="15" t="s">
        <v>218</v>
      </c>
      <c r="G23" s="15">
        <v>15</v>
      </c>
      <c r="H23" s="15" t="s">
        <v>219</v>
      </c>
      <c r="I23" s="15" t="s">
        <v>304</v>
      </c>
      <c r="J23" s="15" t="s">
        <v>305</v>
      </c>
      <c r="K23" s="15" t="s">
        <v>306</v>
      </c>
    </row>
    <row r="24" spans="1:11" ht="100.8">
      <c r="A24" s="1" t="s">
        <v>85</v>
      </c>
      <c r="B24" s="1" t="s">
        <v>86</v>
      </c>
      <c r="C24" s="1" t="s">
        <v>101</v>
      </c>
      <c r="D24" s="19" t="s">
        <v>31</v>
      </c>
      <c r="E24" s="4" t="s">
        <v>161</v>
      </c>
      <c r="F24" s="32" t="s">
        <v>218</v>
      </c>
      <c r="G24" s="32">
        <v>4</v>
      </c>
      <c r="H24" s="32" t="s">
        <v>307</v>
      </c>
      <c r="I24" s="15" t="s">
        <v>308</v>
      </c>
      <c r="J24" s="32" t="s">
        <v>309</v>
      </c>
      <c r="K24" s="32" t="s">
        <v>306</v>
      </c>
    </row>
    <row r="25" spans="1:11" ht="86.4">
      <c r="A25" s="1" t="s">
        <v>87</v>
      </c>
      <c r="B25" s="1" t="s">
        <v>88</v>
      </c>
      <c r="C25" s="1" t="s">
        <v>102</v>
      </c>
      <c r="D25" s="19" t="s">
        <v>38</v>
      </c>
      <c r="E25" s="4" t="s">
        <v>150</v>
      </c>
      <c r="F25" s="15" t="s">
        <v>218</v>
      </c>
      <c r="G25" s="15">
        <v>168</v>
      </c>
      <c r="H25" s="15" t="s">
        <v>294</v>
      </c>
      <c r="I25" s="15" t="s">
        <v>310</v>
      </c>
      <c r="J25" s="15" t="s">
        <v>311</v>
      </c>
      <c r="K25" s="15" t="s">
        <v>303</v>
      </c>
    </row>
    <row r="26" spans="1:11" ht="86.4">
      <c r="A26" t="s">
        <v>155</v>
      </c>
      <c r="B26" t="s">
        <v>157</v>
      </c>
      <c r="C26" t="s">
        <v>158</v>
      </c>
      <c r="D26" s="19" t="s">
        <v>31</v>
      </c>
      <c r="E26" s="4" t="s">
        <v>162</v>
      </c>
      <c r="F26" s="15" t="s">
        <v>218</v>
      </c>
      <c r="G26" s="15">
        <v>101</v>
      </c>
      <c r="H26" s="15" t="s">
        <v>312</v>
      </c>
      <c r="I26" s="15" t="s">
        <v>313</v>
      </c>
      <c r="J26" s="15" t="s">
        <v>314</v>
      </c>
      <c r="K26" s="15" t="s">
        <v>315</v>
      </c>
    </row>
    <row r="27" spans="1:11" ht="57.6">
      <c r="A27" t="s">
        <v>156</v>
      </c>
      <c r="B27" t="s">
        <v>159</v>
      </c>
      <c r="C27" t="s">
        <v>158</v>
      </c>
      <c r="D27" s="19" t="s">
        <v>31</v>
      </c>
      <c r="E27" s="10" t="s">
        <v>163</v>
      </c>
      <c r="F27" s="15" t="s">
        <v>218</v>
      </c>
      <c r="G27" s="15">
        <v>68</v>
      </c>
      <c r="H27" s="15" t="s">
        <v>316</v>
      </c>
      <c r="I27" s="15" t="s">
        <v>317</v>
      </c>
      <c r="J27" s="15" t="s">
        <v>318</v>
      </c>
      <c r="K27" s="15" t="s">
        <v>319</v>
      </c>
    </row>
    <row r="28" spans="1:11" ht="18">
      <c r="A28" s="26" t="s">
        <v>152</v>
      </c>
      <c r="D28" s="19"/>
      <c r="E28" s="4"/>
    </row>
    <row r="29" spans="1:11" ht="72">
      <c r="A29" s="1" t="s">
        <v>89</v>
      </c>
      <c r="B29" s="1" t="s">
        <v>90</v>
      </c>
      <c r="C29" s="1" t="s">
        <v>103</v>
      </c>
      <c r="D29" s="19" t="s">
        <v>31</v>
      </c>
      <c r="E29" s="10" t="s">
        <v>154</v>
      </c>
      <c r="F29" s="15" t="s">
        <v>218</v>
      </c>
      <c r="G29" s="15">
        <v>4513</v>
      </c>
      <c r="H29" s="15" t="s">
        <v>320</v>
      </c>
      <c r="I29" s="15" t="s">
        <v>321</v>
      </c>
      <c r="J29" s="15" t="s">
        <v>322</v>
      </c>
      <c r="K29" s="15" t="s">
        <v>303</v>
      </c>
    </row>
    <row r="30" spans="1:11" ht="129.6">
      <c r="A30" s="1" t="s">
        <v>91</v>
      </c>
      <c r="B30" s="1" t="s">
        <v>92</v>
      </c>
      <c r="C30" s="1" t="s">
        <v>103</v>
      </c>
      <c r="D30" s="19" t="s">
        <v>36</v>
      </c>
      <c r="E30" s="4" t="s">
        <v>153</v>
      </c>
      <c r="F30" s="15" t="s">
        <v>218</v>
      </c>
      <c r="G30" s="15">
        <v>15</v>
      </c>
      <c r="H30" s="15" t="s">
        <v>323</v>
      </c>
      <c r="I30" s="15" t="s">
        <v>324</v>
      </c>
      <c r="J30" s="15" t="s">
        <v>325</v>
      </c>
      <c r="K30" s="15" t="s">
        <v>326</v>
      </c>
    </row>
    <row r="31" spans="1:11">
      <c r="D31" s="19"/>
    </row>
    <row r="32" spans="1:11" s="16" customFormat="1" ht="86.4">
      <c r="A32" s="16" t="s">
        <v>93</v>
      </c>
      <c r="B32" s="16" t="s">
        <v>94</v>
      </c>
      <c r="C32" s="16" t="s">
        <v>103</v>
      </c>
      <c r="D32" s="20" t="s">
        <v>39</v>
      </c>
      <c r="E32" s="20" t="s">
        <v>107</v>
      </c>
      <c r="F32" s="15" t="s">
        <v>218</v>
      </c>
      <c r="G32" s="15">
        <v>1</v>
      </c>
      <c r="H32" s="15" t="s">
        <v>327</v>
      </c>
      <c r="I32" s="15" t="s">
        <v>328</v>
      </c>
      <c r="J32" s="15" t="s">
        <v>329</v>
      </c>
      <c r="K32" s="15" t="s">
        <v>330</v>
      </c>
    </row>
    <row r="33" spans="1:11" ht="187.2">
      <c r="A33" s="1" t="s">
        <v>95</v>
      </c>
      <c r="B33" s="10" t="s">
        <v>108</v>
      </c>
      <c r="C33" s="1" t="s">
        <v>109</v>
      </c>
      <c r="D33" s="19" t="s">
        <v>38</v>
      </c>
      <c r="F33" s="15" t="s">
        <v>218</v>
      </c>
      <c r="G33" s="15">
        <v>27</v>
      </c>
      <c r="H33" s="15" t="s">
        <v>323</v>
      </c>
      <c r="I33" s="15" t="s">
        <v>331</v>
      </c>
      <c r="J33" s="15" t="s">
        <v>332</v>
      </c>
      <c r="K33" s="15" t="s">
        <v>333</v>
      </c>
    </row>
    <row r="34" spans="1:11" ht="72">
      <c r="A34" s="1" t="s">
        <v>96</v>
      </c>
      <c r="B34" s="1" t="s">
        <v>97</v>
      </c>
      <c r="C34" s="1" t="s">
        <v>103</v>
      </c>
      <c r="D34" s="19" t="s">
        <v>38</v>
      </c>
      <c r="F34" s="15" t="s">
        <v>218</v>
      </c>
      <c r="G34" s="15">
        <v>2</v>
      </c>
      <c r="H34" s="15" t="s">
        <v>334</v>
      </c>
      <c r="I34" s="15" t="s">
        <v>335</v>
      </c>
      <c r="J34" s="15" t="s">
        <v>336</v>
      </c>
      <c r="K34" s="15" t="s">
        <v>226</v>
      </c>
    </row>
    <row r="35" spans="1:11">
      <c r="D35" s="19"/>
    </row>
    <row r="37" spans="1:11">
      <c r="A37" s="3" t="s">
        <v>183</v>
      </c>
      <c r="B37" s="3" t="s">
        <v>184</v>
      </c>
      <c r="C37" s="8" t="s">
        <v>185</v>
      </c>
      <c r="D37" s="11" t="s">
        <v>186</v>
      </c>
      <c r="E37" s="3"/>
    </row>
    <row r="38" spans="1:11" ht="42">
      <c r="A38" s="10" t="s">
        <v>194</v>
      </c>
      <c r="B38" s="33" t="s">
        <v>195</v>
      </c>
      <c r="C38" s="10" t="s">
        <v>196</v>
      </c>
      <c r="D38" s="27" t="s">
        <v>197</v>
      </c>
      <c r="E38" s="10"/>
    </row>
    <row r="40" spans="1:11" ht="28.8">
      <c r="A40" s="10" t="s">
        <v>198</v>
      </c>
      <c r="B40" s="10" t="s">
        <v>199</v>
      </c>
      <c r="C40" s="10" t="s">
        <v>200</v>
      </c>
      <c r="D40" s="10" t="s">
        <v>201</v>
      </c>
      <c r="E40" s="10"/>
    </row>
    <row r="41" spans="1:11">
      <c r="A41" t="s">
        <v>450</v>
      </c>
    </row>
    <row r="42" spans="1:11">
      <c r="A42" t="s">
        <v>451</v>
      </c>
    </row>
  </sheetData>
  <mergeCells count="1">
    <mergeCell ref="A1:F1"/>
  </mergeCells>
  <conditionalFormatting sqref="D4:D8 D10:D35">
    <cfRule type="cellIs" dxfId="21" priority="9" operator="equal">
      <formula>"Exploratory"</formula>
    </cfRule>
    <cfRule type="cellIs" dxfId="20" priority="10" operator="equal">
      <formula>"Supporting"</formula>
    </cfRule>
    <cfRule type="cellIs" dxfId="19" priority="11" operator="equal">
      <formula>"core"</formula>
    </cfRule>
  </conditionalFormatting>
  <conditionalFormatting sqref="C37">
    <cfRule type="cellIs" dxfId="18" priority="5" operator="equal">
      <formula>"exploratory"</formula>
    </cfRule>
    <cfRule type="cellIs" dxfId="17" priority="6" operator="equal">
      <formula>"supporting"</formula>
    </cfRule>
    <cfRule type="cellIs" dxfId="16" priority="7" operator="equal">
      <formula>"conditional"</formula>
    </cfRule>
    <cfRule type="cellIs" dxfId="15" priority="8" operator="equal">
      <formula>"core"</formula>
    </cfRule>
  </conditionalFormatting>
  <conditionalFormatting sqref="D9">
    <cfRule type="cellIs" dxfId="14" priority="1" operator="equal">
      <formula>"exploratory"</formula>
    </cfRule>
    <cfRule type="cellIs" dxfId="13" priority="2" operator="equal">
      <formula>"supporting"</formula>
    </cfRule>
    <cfRule type="cellIs" dxfId="12" priority="3" operator="equal">
      <formula>"conditional"</formula>
    </cfRule>
    <cfRule type="cellIs" dxfId="11" priority="4" operator="equal">
      <formula>"core"</formula>
    </cfRule>
  </conditionalFormatting>
  <dataValidations count="2">
    <dataValidation type="list" allowBlank="1" showInputMessage="1" showErrorMessage="1" sqref="C1">
      <formula1>$F$8:$F$13</formula1>
    </dataValidation>
    <dataValidation type="list" allowBlank="1" showInputMessage="1" showErrorMessage="1" sqref="D41:D1048576 C37 D39 D1:D36">
      <formula1>"Core, Supporting, Conditional, Exploratory, Exclude"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pane xSplit="1" topLeftCell="B1" activePane="topRight" state="frozen"/>
      <selection activeCell="A4" sqref="A4"/>
      <selection pane="topRight" activeCell="E1" sqref="E1"/>
    </sheetView>
  </sheetViews>
  <sheetFormatPr defaultRowHeight="14.4"/>
  <cols>
    <col min="1" max="1" width="68.109375" style="4" customWidth="1"/>
    <col min="2" max="2" width="56.5546875" bestFit="1" customWidth="1"/>
    <col min="3" max="3" width="19.109375" bestFit="1" customWidth="1"/>
    <col min="4" max="4" width="19.33203125" style="28" customWidth="1"/>
    <col min="5" max="5" width="54.33203125" style="32" customWidth="1"/>
    <col min="9" max="9" width="26.21875" style="7" customWidth="1"/>
    <col min="10" max="10" width="37.5546875" style="15" customWidth="1"/>
    <col min="11" max="11" width="15" style="7" customWidth="1"/>
  </cols>
  <sheetData>
    <row r="1" spans="1:11" s="1" customFormat="1" ht="54.6" customHeight="1">
      <c r="A1" s="79"/>
      <c r="B1" s="80" t="s">
        <v>123</v>
      </c>
      <c r="C1" s="80"/>
      <c r="D1" s="78"/>
      <c r="E1" s="78"/>
      <c r="F1" s="78"/>
      <c r="I1" s="7"/>
      <c r="J1" s="15"/>
      <c r="K1" s="7"/>
    </row>
    <row r="2" spans="1:11" s="1" customFormat="1" ht="16.8">
      <c r="A2" s="30" t="s">
        <v>164</v>
      </c>
      <c r="B2" s="66"/>
      <c r="C2" s="23"/>
      <c r="D2" s="23"/>
      <c r="E2" s="29"/>
      <c r="F2" s="23"/>
      <c r="I2" s="7"/>
      <c r="J2" s="15"/>
      <c r="K2" s="7"/>
    </row>
    <row r="3" spans="1:11" s="1" customFormat="1" ht="16.8">
      <c r="A3" s="30" t="s">
        <v>165</v>
      </c>
      <c r="B3" s="23"/>
      <c r="C3" s="23"/>
      <c r="D3" s="23"/>
      <c r="E3" s="29"/>
      <c r="F3" s="23"/>
      <c r="I3" s="7"/>
      <c r="J3" s="15"/>
      <c r="K3" s="7"/>
    </row>
    <row r="4" spans="1:11" s="1" customFormat="1" ht="28.8">
      <c r="A4" s="30" t="s">
        <v>166</v>
      </c>
      <c r="B4" s="23"/>
      <c r="C4" s="23"/>
      <c r="D4" s="23"/>
      <c r="E4" s="29"/>
      <c r="F4" s="23"/>
      <c r="I4" s="7"/>
      <c r="J4" s="15"/>
      <c r="K4" s="7"/>
    </row>
    <row r="5" spans="1:11" s="12" customFormat="1">
      <c r="A5" s="30" t="s">
        <v>1</v>
      </c>
      <c r="B5" s="12" t="s">
        <v>14</v>
      </c>
      <c r="C5" s="12" t="s">
        <v>2</v>
      </c>
      <c r="D5" s="17" t="s">
        <v>3</v>
      </c>
      <c r="E5" s="30" t="s">
        <v>33</v>
      </c>
      <c r="F5" s="3" t="s">
        <v>212</v>
      </c>
      <c r="G5" s="3" t="s">
        <v>213</v>
      </c>
      <c r="H5" s="3" t="s">
        <v>214</v>
      </c>
      <c r="I5" s="6" t="s">
        <v>215</v>
      </c>
      <c r="J5" s="30" t="s">
        <v>216</v>
      </c>
      <c r="K5" s="6" t="s">
        <v>217</v>
      </c>
    </row>
    <row r="6" spans="1:11" s="39" customFormat="1" ht="28.8">
      <c r="A6" s="15" t="s">
        <v>76</v>
      </c>
      <c r="B6" s="39" t="s">
        <v>134</v>
      </c>
      <c r="C6" s="39" t="s">
        <v>56</v>
      </c>
      <c r="D6" s="40" t="s">
        <v>31</v>
      </c>
      <c r="E6" s="15" t="s">
        <v>167</v>
      </c>
      <c r="F6" t="s">
        <v>258</v>
      </c>
      <c r="G6">
        <v>7746</v>
      </c>
      <c r="H6" t="s">
        <v>363</v>
      </c>
      <c r="I6" t="s">
        <v>364</v>
      </c>
      <c r="J6" s="10" t="s">
        <v>365</v>
      </c>
      <c r="K6" t="s">
        <v>366</v>
      </c>
    </row>
    <row r="7" spans="1:11" ht="28.8">
      <c r="A7" s="4" t="s">
        <v>77</v>
      </c>
      <c r="B7" t="s">
        <v>135</v>
      </c>
      <c r="C7" t="s">
        <v>56</v>
      </c>
      <c r="D7" s="28" t="s">
        <v>36</v>
      </c>
      <c r="E7" s="15" t="s">
        <v>168</v>
      </c>
    </row>
    <row r="8" spans="1:11" ht="28.8">
      <c r="A8" s="4" t="s">
        <v>83</v>
      </c>
      <c r="B8" t="s">
        <v>84</v>
      </c>
      <c r="C8" t="s">
        <v>101</v>
      </c>
      <c r="D8" s="28" t="s">
        <v>31</v>
      </c>
      <c r="E8" s="31" t="s">
        <v>169</v>
      </c>
      <c r="F8" t="s">
        <v>367</v>
      </c>
      <c r="G8" t="s">
        <v>367</v>
      </c>
      <c r="H8" t="s">
        <v>367</v>
      </c>
      <c r="I8" t="s">
        <v>368</v>
      </c>
      <c r="J8" s="10" t="s">
        <v>369</v>
      </c>
      <c r="K8" t="s">
        <v>370</v>
      </c>
    </row>
    <row r="9" spans="1:11" ht="28.8">
      <c r="A9" s="4" t="s">
        <v>85</v>
      </c>
      <c r="B9" t="s">
        <v>86</v>
      </c>
      <c r="C9" t="s">
        <v>101</v>
      </c>
      <c r="D9" s="28" t="s">
        <v>31</v>
      </c>
      <c r="E9" s="31" t="s">
        <v>170</v>
      </c>
      <c r="F9" t="s">
        <v>367</v>
      </c>
      <c r="G9" t="s">
        <v>367</v>
      </c>
      <c r="H9" t="s">
        <v>367</v>
      </c>
      <c r="I9" t="s">
        <v>368</v>
      </c>
      <c r="J9" s="10" t="s">
        <v>369</v>
      </c>
      <c r="K9" t="s">
        <v>370</v>
      </c>
    </row>
    <row r="10" spans="1:11" ht="28.8">
      <c r="A10" s="4" t="s">
        <v>87</v>
      </c>
      <c r="B10" t="s">
        <v>88</v>
      </c>
      <c r="C10" t="s">
        <v>102</v>
      </c>
      <c r="D10" s="28" t="s">
        <v>38</v>
      </c>
      <c r="E10" s="31" t="s">
        <v>171</v>
      </c>
    </row>
    <row r="11" spans="1:11">
      <c r="A11" s="4" t="s">
        <v>89</v>
      </c>
      <c r="B11" t="s">
        <v>90</v>
      </c>
      <c r="C11" t="s">
        <v>103</v>
      </c>
      <c r="D11" s="28" t="s">
        <v>31</v>
      </c>
      <c r="E11" t="s">
        <v>172</v>
      </c>
    </row>
    <row r="12" spans="1:11">
      <c r="A12" s="4" t="s">
        <v>91</v>
      </c>
      <c r="B12" t="s">
        <v>92</v>
      </c>
      <c r="C12" t="s">
        <v>103</v>
      </c>
      <c r="D12" s="28" t="s">
        <v>36</v>
      </c>
      <c r="E12" t="s">
        <v>173</v>
      </c>
    </row>
    <row r="13" spans="1:11">
      <c r="A13" s="59" t="s">
        <v>23</v>
      </c>
      <c r="B13" s="36" t="s">
        <v>10</v>
      </c>
      <c r="C13" s="36" t="s">
        <v>16</v>
      </c>
      <c r="D13" s="37" t="s">
        <v>36</v>
      </c>
      <c r="E13" s="4" t="s">
        <v>210</v>
      </c>
    </row>
    <row r="15" spans="1:11">
      <c r="A15" s="4" t="s">
        <v>78</v>
      </c>
      <c r="B15" t="s">
        <v>174</v>
      </c>
      <c r="C15" s="10" t="s">
        <v>54</v>
      </c>
      <c r="D15" s="28" t="s">
        <v>31</v>
      </c>
      <c r="E15" s="32" t="s">
        <v>175</v>
      </c>
    </row>
    <row r="16" spans="1:11" ht="88.8" customHeight="1">
      <c r="A16" s="4" t="s">
        <v>124</v>
      </c>
      <c r="B16" t="s">
        <v>136</v>
      </c>
      <c r="C16" t="s">
        <v>144</v>
      </c>
      <c r="D16" s="28" t="s">
        <v>31</v>
      </c>
      <c r="E16" s="32" t="s">
        <v>176</v>
      </c>
      <c r="F16" s="15" t="s">
        <v>282</v>
      </c>
      <c r="G16" s="15">
        <v>261691</v>
      </c>
      <c r="H16" s="15" t="s">
        <v>337</v>
      </c>
      <c r="I16" s="15" t="s">
        <v>338</v>
      </c>
      <c r="J16" s="15" t="s">
        <v>339</v>
      </c>
      <c r="K16" s="15" t="s">
        <v>303</v>
      </c>
    </row>
    <row r="17" spans="1:11" ht="57.6">
      <c r="A17" s="4" t="s">
        <v>125</v>
      </c>
      <c r="B17" t="s">
        <v>137</v>
      </c>
      <c r="C17" t="s">
        <v>144</v>
      </c>
      <c r="D17" s="28" t="s">
        <v>36</v>
      </c>
      <c r="E17" s="32" t="s">
        <v>177</v>
      </c>
      <c r="F17" t="s">
        <v>282</v>
      </c>
      <c r="G17">
        <v>242282</v>
      </c>
      <c r="H17" t="s">
        <v>340</v>
      </c>
      <c r="I17" t="s">
        <v>341</v>
      </c>
      <c r="J17" s="15" t="s">
        <v>342</v>
      </c>
      <c r="K17" t="s">
        <v>303</v>
      </c>
    </row>
    <row r="18" spans="1:11" s="13" customFormat="1" ht="28.8">
      <c r="A18" s="4" t="s">
        <v>126</v>
      </c>
      <c r="B18" t="s">
        <v>138</v>
      </c>
      <c r="C18" t="s">
        <v>144</v>
      </c>
      <c r="D18" s="28" t="s">
        <v>36</v>
      </c>
      <c r="E18" s="32" t="s">
        <v>177</v>
      </c>
      <c r="F18" t="s">
        <v>282</v>
      </c>
      <c r="G18">
        <v>70527</v>
      </c>
      <c r="H18" t="s">
        <v>343</v>
      </c>
      <c r="I18" t="s">
        <v>341</v>
      </c>
      <c r="J18" s="15" t="s">
        <v>344</v>
      </c>
      <c r="K18" t="s">
        <v>303</v>
      </c>
    </row>
    <row r="19" spans="1:11" s="39" customFormat="1" ht="42.6" customHeight="1">
      <c r="A19" s="43" t="s">
        <v>127</v>
      </c>
      <c r="B19" s="41" t="s">
        <v>139</v>
      </c>
      <c r="C19" s="41" t="s">
        <v>144</v>
      </c>
      <c r="D19" s="42" t="s">
        <v>39</v>
      </c>
      <c r="E19" s="43" t="s">
        <v>211</v>
      </c>
      <c r="F19" t="s">
        <v>282</v>
      </c>
      <c r="G19">
        <v>1</v>
      </c>
      <c r="H19" t="s">
        <v>345</v>
      </c>
      <c r="I19" t="s">
        <v>346</v>
      </c>
      <c r="J19" s="10" t="s">
        <v>347</v>
      </c>
      <c r="K19" t="s">
        <v>348</v>
      </c>
    </row>
    <row r="20" spans="1:11" ht="57.6">
      <c r="A20" s="4" t="s">
        <v>128</v>
      </c>
      <c r="B20" t="s">
        <v>140</v>
      </c>
      <c r="C20" t="s">
        <v>144</v>
      </c>
      <c r="D20" s="28" t="s">
        <v>36</v>
      </c>
      <c r="E20" s="32" t="s">
        <v>178</v>
      </c>
      <c r="F20" t="s">
        <v>282</v>
      </c>
      <c r="G20">
        <v>743</v>
      </c>
      <c r="H20" t="s">
        <v>349</v>
      </c>
      <c r="I20" t="s">
        <v>341</v>
      </c>
      <c r="J20" s="10" t="s">
        <v>350</v>
      </c>
      <c r="K20" t="s">
        <v>303</v>
      </c>
    </row>
    <row r="21" spans="1:11" ht="43.2">
      <c r="A21" s="4" t="s">
        <v>129</v>
      </c>
      <c r="B21" t="s">
        <v>141</v>
      </c>
      <c r="C21" t="s">
        <v>144</v>
      </c>
      <c r="D21" s="28" t="s">
        <v>36</v>
      </c>
      <c r="E21" s="32" t="s">
        <v>179</v>
      </c>
      <c r="F21" t="s">
        <v>282</v>
      </c>
      <c r="G21">
        <v>412</v>
      </c>
      <c r="H21" t="s">
        <v>351</v>
      </c>
      <c r="I21" t="s">
        <v>341</v>
      </c>
      <c r="J21" s="10" t="s">
        <v>352</v>
      </c>
      <c r="K21" t="s">
        <v>303</v>
      </c>
    </row>
    <row r="22" spans="1:11" ht="129.6">
      <c r="A22" s="4" t="s">
        <v>130</v>
      </c>
      <c r="B22" t="s">
        <v>142</v>
      </c>
      <c r="C22" t="s">
        <v>144</v>
      </c>
      <c r="D22" s="28" t="s">
        <v>38</v>
      </c>
      <c r="E22" s="32" t="s">
        <v>180</v>
      </c>
      <c r="F22" t="s">
        <v>282</v>
      </c>
      <c r="G22">
        <v>139130</v>
      </c>
      <c r="H22" t="s">
        <v>353</v>
      </c>
      <c r="I22" t="s">
        <v>341</v>
      </c>
      <c r="J22" s="10" t="s">
        <v>354</v>
      </c>
      <c r="K22" t="s">
        <v>355</v>
      </c>
    </row>
    <row r="23" spans="1:11" ht="158.4">
      <c r="A23" s="4" t="s">
        <v>131</v>
      </c>
      <c r="B23" t="s">
        <v>143</v>
      </c>
      <c r="C23" t="s">
        <v>144</v>
      </c>
      <c r="D23" s="28" t="s">
        <v>36</v>
      </c>
      <c r="E23" s="32" t="s">
        <v>181</v>
      </c>
      <c r="F23" t="s">
        <v>218</v>
      </c>
      <c r="G23">
        <v>2</v>
      </c>
      <c r="H23" t="s">
        <v>356</v>
      </c>
      <c r="I23" s="15" t="s">
        <v>357</v>
      </c>
      <c r="J23" s="10" t="s">
        <v>358</v>
      </c>
      <c r="K23" t="s">
        <v>226</v>
      </c>
    </row>
    <row r="24" spans="1:11" ht="129.6">
      <c r="A24" s="4" t="s">
        <v>132</v>
      </c>
      <c r="B24" t="s">
        <v>133</v>
      </c>
      <c r="C24" t="s">
        <v>144</v>
      </c>
      <c r="D24" s="28" t="s">
        <v>36</v>
      </c>
      <c r="E24" s="32" t="s">
        <v>182</v>
      </c>
      <c r="F24" t="s">
        <v>282</v>
      </c>
      <c r="G24">
        <v>14</v>
      </c>
      <c r="H24" t="s">
        <v>359</v>
      </c>
      <c r="I24" s="15" t="s">
        <v>360</v>
      </c>
      <c r="J24" s="10" t="s">
        <v>361</v>
      </c>
      <c r="K24" t="s">
        <v>362</v>
      </c>
    </row>
    <row r="27" spans="1:11">
      <c r="A27" s="5" t="s">
        <v>183</v>
      </c>
      <c r="B27" s="3" t="s">
        <v>184</v>
      </c>
      <c r="C27" s="8" t="s">
        <v>185</v>
      </c>
      <c r="D27" s="11" t="s">
        <v>186</v>
      </c>
      <c r="E27" s="3"/>
    </row>
    <row r="28" spans="1:11" ht="27.6">
      <c r="A28" s="10" t="s">
        <v>202</v>
      </c>
      <c r="B28" s="33" t="s">
        <v>203</v>
      </c>
      <c r="C28" s="33" t="s">
        <v>204</v>
      </c>
      <c r="D28" s="10" t="s">
        <v>205</v>
      </c>
      <c r="E28" s="10"/>
    </row>
    <row r="29" spans="1:11" ht="28.8">
      <c r="A29" s="10" t="s">
        <v>206</v>
      </c>
      <c r="B29" s="10" t="s">
        <v>207</v>
      </c>
      <c r="C29" s="33" t="s">
        <v>124</v>
      </c>
      <c r="D29" s="10" t="s">
        <v>208</v>
      </c>
      <c r="E29" s="10"/>
    </row>
  </sheetData>
  <conditionalFormatting sqref="D30:D1048576 D1:D12 D14:D26">
    <cfRule type="cellIs" dxfId="10" priority="9" operator="equal">
      <formula>$D$10</formula>
    </cfRule>
    <cfRule type="cellIs" dxfId="9" priority="10" operator="equal">
      <formula>$D$7</formula>
    </cfRule>
    <cfRule type="cellIs" dxfId="8" priority="11" operator="equal">
      <formula>$D$6</formula>
    </cfRule>
  </conditionalFormatting>
  <conditionalFormatting sqref="C27">
    <cfRule type="cellIs" dxfId="7" priority="5" operator="equal">
      <formula>"exploratory"</formula>
    </cfRule>
    <cfRule type="cellIs" dxfId="6" priority="6" operator="equal">
      <formula>"supporting"</formula>
    </cfRule>
    <cfRule type="cellIs" dxfId="5" priority="7" operator="equal">
      <formula>"conditional"</formula>
    </cfRule>
    <cfRule type="cellIs" dxfId="4" priority="8" operator="equal">
      <formula>"core"</formula>
    </cfRule>
  </conditionalFormatting>
  <conditionalFormatting sqref="D13">
    <cfRule type="cellIs" dxfId="3" priority="1" operator="equal">
      <formula>"exploratory"</formula>
    </cfRule>
    <cfRule type="cellIs" dxfId="2" priority="2" operator="equal">
      <formula>"supporting"</formula>
    </cfRule>
    <cfRule type="cellIs" dxfId="1" priority="3" operator="equal">
      <formula>"conditional"</formula>
    </cfRule>
    <cfRule type="cellIs" dxfId="0" priority="4" operator="equal">
      <formula>"core"</formula>
    </cfRule>
  </conditionalFormatting>
  <dataValidations count="2">
    <dataValidation type="list" allowBlank="1" showInputMessage="1" showErrorMessage="1" sqref="C27 D1:D24">
      <formula1>"Core, Supporting, Conditional, Exploratory, Exclude"</formula1>
    </dataValidation>
    <dataValidation type="list" allowBlank="1" showInputMessage="1" showErrorMessage="1" sqref="C2:C4">
      <formula1>$E$9:$E$14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H20" sqref="H20"/>
    </sheetView>
  </sheetViews>
  <sheetFormatPr defaultRowHeight="14.4"/>
  <cols>
    <col min="2" max="2" width="10.33203125" bestFit="1" customWidth="1"/>
  </cols>
  <sheetData>
    <row r="1" spans="1:4">
      <c r="B1" t="s">
        <v>412</v>
      </c>
      <c r="D1" t="s">
        <v>433</v>
      </c>
    </row>
    <row r="2" spans="1:4">
      <c r="A2" t="s">
        <v>411</v>
      </c>
      <c r="B2" s="71">
        <v>1107877</v>
      </c>
      <c r="D2" t="s">
        <v>434</v>
      </c>
    </row>
    <row r="3" spans="1:4">
      <c r="A3" t="s">
        <v>413</v>
      </c>
      <c r="B3" s="71">
        <v>1092862</v>
      </c>
      <c r="D3" t="s">
        <v>435</v>
      </c>
    </row>
    <row r="4" spans="1:4">
      <c r="A4" t="s">
        <v>414</v>
      </c>
      <c r="B4" s="71">
        <v>1183297</v>
      </c>
      <c r="D4" t="s">
        <v>436</v>
      </c>
    </row>
    <row r="5" spans="1:4">
      <c r="A5" t="s">
        <v>415</v>
      </c>
      <c r="B5" s="71">
        <v>1220168</v>
      </c>
      <c r="D5" t="s">
        <v>437</v>
      </c>
    </row>
    <row r="6" spans="1:4">
      <c r="A6" t="s">
        <v>416</v>
      </c>
      <c r="B6" s="71">
        <v>1217431</v>
      </c>
      <c r="D6" t="s">
        <v>438</v>
      </c>
    </row>
    <row r="7" spans="1:4">
      <c r="A7" t="s">
        <v>417</v>
      </c>
      <c r="B7" s="71">
        <v>1179843</v>
      </c>
      <c r="D7" t="s">
        <v>439</v>
      </c>
    </row>
    <row r="8" spans="1:4">
      <c r="A8" t="s">
        <v>418</v>
      </c>
      <c r="B8" s="71">
        <v>1186206</v>
      </c>
      <c r="D8" t="s">
        <v>440</v>
      </c>
    </row>
    <row r="9" spans="1:4">
      <c r="A9" t="s">
        <v>419</v>
      </c>
      <c r="B9" s="71">
        <v>1142359</v>
      </c>
      <c r="D9" t="s">
        <v>441</v>
      </c>
    </row>
    <row r="10" spans="1:4">
      <c r="A10" t="s">
        <v>420</v>
      </c>
      <c r="B10" s="71">
        <v>1117171</v>
      </c>
      <c r="D10" t="s">
        <v>442</v>
      </c>
    </row>
    <row r="11" spans="1:4">
      <c r="A11" t="s">
        <v>421</v>
      </c>
      <c r="B11" s="71">
        <v>1188544</v>
      </c>
      <c r="D11" t="s">
        <v>443</v>
      </c>
    </row>
    <row r="12" spans="1:4">
      <c r="A12" t="s">
        <v>422</v>
      </c>
      <c r="B12" s="71">
        <v>1061011</v>
      </c>
      <c r="D12" t="s">
        <v>444</v>
      </c>
    </row>
    <row r="13" spans="1:4">
      <c r="A13" t="s">
        <v>423</v>
      </c>
      <c r="B13" s="71">
        <v>1090085</v>
      </c>
      <c r="D13" t="s">
        <v>445</v>
      </c>
    </row>
    <row r="14" spans="1:4">
      <c r="A14" t="s">
        <v>446</v>
      </c>
      <c r="B14" s="71">
        <f>SUM(B2:B13)</f>
        <v>13786854</v>
      </c>
    </row>
    <row r="15" spans="1:4" ht="86.4">
      <c r="B15" s="74" t="s">
        <v>431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final_list</vt:lpstr>
      <vt:lpstr>Q1</vt:lpstr>
      <vt:lpstr>Q2</vt:lpstr>
      <vt:lpstr>Q3</vt:lpstr>
      <vt:lpstr>Q4</vt:lpstr>
      <vt:lpstr>records_count_validation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Jadhav</dc:creator>
  <cp:lastModifiedBy>Shubhangi Jadhav</cp:lastModifiedBy>
  <dcterms:created xsi:type="dcterms:W3CDTF">2026-08-19T14:05:42Z</dcterms:created>
  <dcterms:modified xsi:type="dcterms:W3CDTF">2026-10-09T14:56:56Z</dcterms:modified>
</cp:coreProperties>
</file>